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arametry" sheetId="2" state="visible" r:id="rId2"/>
    <sheet xmlns:r="http://schemas.openxmlformats.org/officeDocument/2006/relationships" name="1_KO_brana" sheetId="3" state="visible" r:id="rId3"/>
    <sheet xmlns:r="http://schemas.openxmlformats.org/officeDocument/2006/relationships" name="2_Byznys" sheetId="4" state="visible" r:id="rId4"/>
    <sheet xmlns:r="http://schemas.openxmlformats.org/officeDocument/2006/relationships" name="3_Arch_Sec" sheetId="5" state="visible" r:id="rId5"/>
    <sheet xmlns:r="http://schemas.openxmlformats.org/officeDocument/2006/relationships" name="4_Delivery" sheetId="6" state="visible" r:id="rId6"/>
    <sheet xmlns:r="http://schemas.openxmlformats.org/officeDocument/2006/relationships" name="5_Cena" sheetId="7" state="visible" r:id="rId7"/>
    <sheet xmlns:r="http://schemas.openxmlformats.org/officeDocument/2006/relationships" name="Vysledek" sheetId="8" state="visible" r:id="rId8"/>
    <sheet xmlns:r="http://schemas.openxmlformats.org/officeDocument/2006/relationships" name="Hodnotici_ar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Kč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  <xf numFmtId="0" fontId="6" fillId="0" borderId="0" pivotButton="0" quotePrefix="0" xfId="0"/>
    <xf numFmtId="9" fontId="0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164" fontId="6" fillId="5" borderId="0" pivotButton="0" quotePrefix="0" xfId="0"/>
    <xf numFmtId="2" fontId="6" fillId="5" borderId="0" pivotButton="0" quotePrefix="0" xfId="0"/>
    <xf numFmtId="0" fontId="6" fillId="5" borderId="0" pivotButton="0" quotePrefix="0" xfId="0"/>
    <xf numFmtId="2" fontId="0" fillId="5" borderId="1" pivotButton="0" quotePrefix="0" xfId="0"/>
    <xf numFmtId="0" fontId="0" fillId="5" borderId="1" pivotButton="0" quotePrefix="0" xfId="0"/>
    <xf numFmtId="2" fontId="0" fillId="0" borderId="0" pivotButton="0" quotePrefix="0" xfId="0"/>
    <xf numFmtId="2" fontId="6" fillId="0" borderId="0" pivotButton="0" quotePrefix="0" xfId="0"/>
    <xf numFmtId="165" fontId="0" fillId="3" borderId="1" pivotButton="0" quotePrefix="0" xfId="0"/>
    <xf numFmtId="165" fontId="0" fillId="5" borderId="1" pivotButton="0" quotePrefix="0" xfId="0"/>
    <xf numFmtId="2" fontId="6" fillId="5" borderId="1" pivotButton="0" quotePrefix="0" xfId="0"/>
    <xf numFmtId="2" fontId="0" fillId="0" borderId="1" applyAlignment="1" pivotButton="0" quotePrefix="0" xfId="0">
      <alignment horizontal="center" vertical="top" wrapText="1"/>
    </xf>
    <xf numFmtId="2" fontId="6" fillId="0" borderId="1" applyAlignment="1" pivotButton="0" quotePrefix="0" xfId="0">
      <alignment horizontal="center" vertical="top" wrapText="1"/>
    </xf>
    <xf numFmtId="2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Hodnoticí model a hodnoticí arch – výběrové řízení SENTINEL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B5" s="4" t="inlineStr">
        <is>
          <t>Postup hodnocení</t>
        </is>
      </c>
    </row>
    <row r="6">
      <c r="B6" s="5" t="inlineStr">
        <is>
          <t>1) K.O. brána (list 1_KO_brana): každé K.O. kritérium Pass/Fail. Jediný FAIL = nabídka nepostupuje do bodového hodnocení.</t>
        </is>
      </c>
    </row>
    <row r="7">
      <c r="B7" s="5" t="inlineStr">
        <is>
          <t>2) Byznys funkcionality 30 % (list 2_Byznys): odpovědi z Matice shody, body 5/3/1/0, váha MoSCoW, křížová kontrola s FS a ověření v demu.</t>
        </is>
      </c>
    </row>
    <row r="8">
      <c r="B8" s="5" t="inlineStr">
        <is>
          <t>3) Architektura a bezpečnost 20 % (list 3_Arch_Sec): každý hlasující člen komise boduje kapitoly FS na škále 0–10.</t>
        </is>
      </c>
    </row>
    <row r="9">
      <c r="B9" s="5" t="inlineStr">
        <is>
          <t>4) Delivery a zkušenosti 10 % (list 4_Delivery): reference z finančního sektoru, seniorita týmu, návrh SLA, projektový plán – škála 0–10.</t>
        </is>
      </c>
    </row>
    <row r="10">
      <c r="B10" s="5" t="inlineStr">
        <is>
          <t>5) Cena 40 % (list 5_Cena): (nejnižší TCO / hodnocené TCO) × 40, jen pro nabídky, které prošly K.O. bránou.</t>
        </is>
      </c>
    </row>
    <row r="11">
      <c r="B11" s="5" t="inlineStr">
        <is>
          <t>6) Výsledek (list Vysledek) a hodnoticí arch k podpisu (list Hodnotici_arch).</t>
        </is>
      </c>
    </row>
    <row r="12">
      <c r="B12" s="4" t="inlineStr">
        <is>
          <t>Pravidla auditní stopy</t>
        </is>
      </c>
    </row>
    <row r="13">
      <c r="B13" s="5" t="inlineStr">
        <is>
          <t>• Váhy a stupnice schválil SteerCo 23. 9. 2026, tj. PŘED vyhlášením výběrového řízení. Po otevření nabídek se nemění.</t>
        </is>
      </c>
    </row>
    <row r="14">
      <c r="B14" s="5" t="inlineStr">
        <is>
          <t>• Každá známka horší než průměr daného kritéria musí mít jednovětné zdůvodnění – buňka jinak zčervená.</t>
        </is>
      </c>
    </row>
    <row r="15">
      <c r="B15" s="5" t="inlineStr">
        <is>
          <t>• Členové komise podepisují prohlášení o neexistenci střetu zájmů před otevřením nabídek.</t>
        </is>
      </c>
    </row>
    <row r="16">
      <c r="B16" s="5" t="inlineStr">
        <is>
          <t>• Data v tomto souboru jsou FIKTIVNÍ ukázkou výpočtu (3 smyšlení dodavatelé).</t>
        </is>
      </c>
    </row>
    <row r="17">
      <c r="B17" s="4" t="inlineStr">
        <is>
          <t>Barvy</t>
        </is>
      </c>
    </row>
    <row r="19">
      <c r="A19" s="6" t="n"/>
      <c r="B19" t="inlineStr">
        <is>
          <t>Vyplňuje Banka (stakeholdeři / projektový tým)</t>
        </is>
      </c>
    </row>
    <row r="20">
      <c r="A20" s="7" t="n"/>
      <c r="B20" t="inlineStr">
        <is>
          <t>Vyplňuje dodavatel</t>
        </is>
      </c>
    </row>
    <row r="21">
      <c r="A21" s="8" t="n"/>
      <c r="B21" t="inlineStr">
        <is>
          <t>Vyplňuje hodnoticí komise</t>
        </is>
      </c>
    </row>
    <row r="22">
      <c r="A22" s="9" t="n"/>
      <c r="B22" t="inlineStr">
        <is>
          <t>Vypočteno vzorcem – needitovat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4" customWidth="1" min="3" max="3"/>
    <col width="70" customWidth="1" min="4" max="4"/>
  </cols>
  <sheetData>
    <row r="1">
      <c r="A1" s="1" t="inlineStr">
        <is>
          <t>Parametry hodnocení (schváleno SteerCo 23. 9. 2026)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0" t="inlineStr">
        <is>
          <t>Kategorie</t>
        </is>
      </c>
      <c r="B5" s="10" t="inlineStr">
        <is>
          <t>Váha</t>
        </is>
      </c>
      <c r="C5" s="10" t="inlineStr">
        <is>
          <t>Zdroj dat</t>
        </is>
      </c>
      <c r="D5" s="10" t="inlineStr">
        <is>
          <t>Metoda</t>
        </is>
      </c>
    </row>
    <row r="6">
      <c r="A6" s="11" t="inlineStr">
        <is>
          <t>Cena (TCO na 5 let)</t>
        </is>
      </c>
      <c r="B6" s="12" t="n">
        <v>0.4</v>
      </c>
      <c r="C6" s="11" t="inlineStr">
        <is>
          <t>Příloha 3 – cenová šablona</t>
        </is>
      </c>
      <c r="D6" s="11" t="inlineStr">
        <is>
          <t>(nejnižší TCO / hodnocené TCO) × 40</t>
        </is>
      </c>
    </row>
    <row r="7">
      <c r="A7" s="11" t="inlineStr">
        <is>
          <t>Byznys funkcionality</t>
        </is>
      </c>
      <c r="B7" s="12" t="n">
        <v>0.3</v>
      </c>
      <c r="C7" s="11" t="inlineStr">
        <is>
          <t>Příloha 1 – Matice shody</t>
        </is>
      </c>
      <c r="D7" s="11" t="inlineStr">
        <is>
          <t>Σ(uznané body × váha MoSCoW) / Σ(5 × váha MoSCoW) × 30</t>
        </is>
      </c>
    </row>
    <row r="8">
      <c r="A8" s="11" t="inlineStr">
        <is>
          <t>Architektura &amp; bezpečnost</t>
        </is>
      </c>
      <c r="B8" s="12" t="n">
        <v>0.2</v>
      </c>
      <c r="C8" s="11" t="inlineStr">
        <is>
          <t>Příloha 2 – Feasibility Study</t>
        </is>
      </c>
      <c r="D8" s="11" t="inlineStr">
        <is>
          <t>průměr známek komise 0–10 / 10 × 20</t>
        </is>
      </c>
    </row>
    <row r="9">
      <c r="A9" s="11" t="inlineStr">
        <is>
          <t>Delivery a zkušenosti</t>
        </is>
      </c>
      <c r="B9" s="12" t="n">
        <v>0.1</v>
      </c>
      <c r="C9" s="11" t="inlineStr">
        <is>
          <t>Reference, CV, návrh SLA, plán</t>
        </is>
      </c>
      <c r="D9" s="11" t="inlineStr">
        <is>
          <t>průměr známek komise 0–10 / 10 × 10</t>
        </is>
      </c>
    </row>
    <row r="10">
      <c r="A10" s="13" t="inlineStr">
        <is>
          <t>Součet vah</t>
        </is>
      </c>
      <c r="B10" s="14">
        <f>SUM(B6:B9)</f>
        <v/>
      </c>
    </row>
    <row r="12">
      <c r="A12" s="13" t="inlineStr">
        <is>
          <t>Stupnice FS a Delivery (0–10)</t>
        </is>
      </c>
    </row>
    <row r="13">
      <c r="A13" t="inlineStr">
        <is>
          <t>8–10: detailní návrh přesně na rozhraní a systémy Banky</t>
        </is>
      </c>
    </row>
    <row r="14">
      <c r="A14" t="inlineStr">
        <is>
          <t>4–7: standardizovaný popis, chybí detail na specifické systémy Banky (core, CRM)</t>
        </is>
      </c>
    </row>
    <row r="15">
      <c r="A15" t="inlineStr">
        <is>
          <t>0–3: obecné marketingové fráze bez technické hloubky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36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1 – K.O. brána (Pass/Fail)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0" t="inlineStr">
        <is>
          <t>ID</t>
        </is>
      </c>
      <c r="B5" s="10" t="inlineStr">
        <is>
          <t>K.O. kritérium</t>
        </is>
      </c>
      <c r="C5" s="10" t="inlineStr">
        <is>
          <t>Doklad</t>
        </is>
      </c>
      <c r="D5" s="15" t="inlineStr">
        <is>
          <t>Dodavatel A</t>
        </is>
      </c>
      <c r="E5" s="15" t="inlineStr">
        <is>
          <t>Dodavatel B</t>
        </is>
      </c>
      <c r="F5" s="15" t="inlineStr">
        <is>
          <t>Dodavatel C</t>
        </is>
      </c>
      <c r="G5" s="10" t="inlineStr">
        <is>
          <t>Poznámka komise</t>
        </is>
      </c>
    </row>
    <row r="6">
      <c r="A6" s="16" t="inlineStr">
        <is>
          <t>FORM-01</t>
        </is>
      </c>
      <c r="B6" s="17" t="inlineStr">
        <is>
          <t>Nabídka podána včas a v požadované struktuře (Matice, FS, TCO, přílohy)</t>
        </is>
      </c>
      <c r="C6" s="17" t="inlineStr">
        <is>
          <t>Protokol o otevření nabídek</t>
        </is>
      </c>
      <c r="D6" s="18" t="inlineStr">
        <is>
          <t>PASS</t>
        </is>
      </c>
      <c r="E6" s="18" t="inlineStr">
        <is>
          <t>PASS</t>
        </is>
      </c>
      <c r="F6" s="18" t="inlineStr">
        <is>
          <t>PASS</t>
        </is>
      </c>
      <c r="G6" s="17" t="inlineStr"/>
    </row>
    <row r="7">
      <c r="A7" s="16" t="inlineStr">
        <is>
          <t>FORM-02</t>
        </is>
      </c>
      <c r="B7" s="17" t="inlineStr">
        <is>
          <t>Podepsaná NDA a čestné prohlášení (bezúhonnost, sankce, střet zájmů)</t>
        </is>
      </c>
      <c r="C7" s="17" t="inlineStr">
        <is>
          <t>Čestné prohlášení dle Přílohy 7</t>
        </is>
      </c>
      <c r="D7" s="18" t="inlineStr">
        <is>
          <t>PASS</t>
        </is>
      </c>
      <c r="E7" s="18" t="inlineStr">
        <is>
          <t>PASS</t>
        </is>
      </c>
      <c r="F7" s="18" t="inlineStr">
        <is>
          <t>PASS</t>
        </is>
      </c>
      <c r="G7" s="17" t="inlineStr"/>
    </row>
    <row r="8">
      <c r="A8" s="16" t="inlineStr">
        <is>
          <t>FORM-03</t>
        </is>
      </c>
      <c r="B8" s="17" t="inlineStr">
        <is>
          <t>Kompletní cenová šablona – stav KOMPLETNÍ a všechna potvrzení „Ano“</t>
        </is>
      </c>
      <c r="C8" s="17" t="inlineStr">
        <is>
          <t>Příloha 3, list Souhrn</t>
        </is>
      </c>
      <c r="D8" s="18" t="inlineStr">
        <is>
          <t>PASS</t>
        </is>
      </c>
      <c r="E8" s="18" t="inlineStr">
        <is>
          <t>PASS</t>
        </is>
      </c>
      <c r="F8" s="18" t="inlineStr">
        <is>
          <t>PASS</t>
        </is>
      </c>
      <c r="G8" s="17" t="inlineStr"/>
    </row>
    <row r="9">
      <c r="A9" s="16" t="inlineStr">
        <is>
          <t>SCR-001</t>
        </is>
      </c>
      <c r="B9" s="17" t="inlineStr">
        <is>
          <t>Screening klientů, zástupců, skutečných majitelů a protistran proti sankčním seznamům EU (konsolidovaný seznam), OSN, národnímu sankčnímu seznamu ČR a volitelně OFAC a UK HMT.</t>
        </is>
      </c>
      <c r="C9" s="17" t="inlineStr">
        <is>
          <t>Matice shody, FS kap. 6.2</t>
        </is>
      </c>
      <c r="D9" s="18" t="inlineStr">
        <is>
          <t>PASS</t>
        </is>
      </c>
      <c r="E9" s="18" t="inlineStr">
        <is>
          <t>PASS</t>
        </is>
      </c>
      <c r="F9" s="18" t="inlineStr">
        <is>
          <t>PASS</t>
        </is>
      </c>
      <c r="G9" s="17" t="inlineStr"/>
    </row>
    <row r="10">
      <c r="A10" s="16" t="inlineStr">
        <is>
          <t>INT-001</t>
        </is>
      </c>
      <c r="B10" s="17" t="inlineStr">
        <is>
          <t>Obousměrná integrace s CRM přes REST API: požadavek na onboarding, stav KYC, rizikový profil, termín revize a rozhodnutí; změny z AML se do CRM posílají událostmi.</t>
        </is>
      </c>
      <c r="C10" s="17" t="inlineStr">
        <is>
          <t>Matice shody, FS kap. 5.1</t>
        </is>
      </c>
      <c r="D10" s="18" t="inlineStr">
        <is>
          <t>PASS</t>
        </is>
      </c>
      <c r="E10" s="18" t="inlineStr">
        <is>
          <t>PASS</t>
        </is>
      </c>
      <c r="F10" s="18" t="inlineStr">
        <is>
          <t>PASS</t>
        </is>
      </c>
      <c r="G10" s="17" t="inlineStr"/>
    </row>
    <row r="11">
      <c r="A11" s="16" t="inlineStr">
        <is>
          <t>NFR-006</t>
        </is>
      </c>
      <c r="B11" s="17" t="inlineStr">
        <is>
          <t>Provoz on-premise v datových centrech Banky nebo v privátním cloudu; data a zálohy výhradně v EU/EHP.</t>
        </is>
      </c>
      <c r="C11" s="17" t="inlineStr">
        <is>
          <t>Matice shody, FS kap. 3.1</t>
        </is>
      </c>
      <c r="D11" s="18" t="inlineStr">
        <is>
          <t>PASS</t>
        </is>
      </c>
      <c r="E11" s="18" t="inlineStr">
        <is>
          <t>PASS</t>
        </is>
      </c>
      <c r="F11" s="18" t="inlineStr">
        <is>
          <t>FAIL</t>
        </is>
      </c>
      <c r="G11" s="17" t="inlineStr">
        <is>
          <t>Dodavatel C: Zálohy v regionu mimo EU/EHP (USA); 2. linie podpory z Indie.</t>
        </is>
      </c>
    </row>
    <row r="12">
      <c r="A12" s="16" t="inlineStr">
        <is>
          <t>SEC-001</t>
        </is>
      </c>
      <c r="B12" s="17" t="inlineStr">
        <is>
          <t>Systém podporuje SAML 2.0 / OIDC pro jednotné přihlášení (SSO) přes bankovní IAM.</t>
        </is>
      </c>
      <c r="C12" s="17" t="inlineStr">
        <is>
          <t>Matice shody, FS kap. 4.2</t>
        </is>
      </c>
      <c r="D12" s="18" t="inlineStr">
        <is>
          <t>PASS</t>
        </is>
      </c>
      <c r="E12" s="18" t="inlineStr">
        <is>
          <t>PASS</t>
        </is>
      </c>
      <c r="F12" s="18" t="inlineStr">
        <is>
          <t>PASS</t>
        </is>
      </c>
      <c r="G12" s="17" t="inlineStr"/>
    </row>
    <row r="13">
      <c r="A13" s="16" t="inlineStr">
        <is>
          <t>SEC-010</t>
        </is>
      </c>
      <c r="B13" s="17" t="inlineStr">
        <is>
          <t>Dodavatel je držitelem platné certifikace ISO/IEC 27001 nebo zprávy SOC 2 Type II pro organizaci zajišťující vývoj a podporu.</t>
        </is>
      </c>
      <c r="C13" s="17" t="inlineStr">
        <is>
          <t>Matice shody, FS kap. 4.1</t>
        </is>
      </c>
      <c r="D13" s="18" t="inlineStr">
        <is>
          <t>PASS</t>
        </is>
      </c>
      <c r="E13" s="18" t="inlineStr">
        <is>
          <t>PASS</t>
        </is>
      </c>
      <c r="F13" s="18" t="inlineStr">
        <is>
          <t>PASS</t>
        </is>
      </c>
      <c r="G13" s="17" t="inlineStr"/>
    </row>
    <row r="14">
      <c r="A14" s="16" t="inlineStr">
        <is>
          <t>REG-001</t>
        </is>
      </c>
      <c r="B14" s="17" t="inlineStr">
        <is>
          <t>Dodavatel akceptuje smluvní ujednání dle čl. 30 DORA a poskytne údaje pro registr informací Banky.</t>
        </is>
      </c>
      <c r="C14" s="17" t="inlineStr">
        <is>
          <t>Matice shody, FS kap. 9.1</t>
        </is>
      </c>
      <c r="D14" s="18" t="inlineStr">
        <is>
          <t>PASS</t>
        </is>
      </c>
      <c r="E14" s="18" t="inlineStr">
        <is>
          <t>PASS</t>
        </is>
      </c>
      <c r="F14" s="18" t="inlineStr">
        <is>
          <t>PASS</t>
        </is>
      </c>
      <c r="G14" s="17" t="inlineStr"/>
    </row>
    <row r="15">
      <c r="A15" s="16" t="inlineStr">
        <is>
          <t>LEG-001</t>
        </is>
      </c>
      <c r="B15" s="17" t="inlineStr">
        <is>
          <t>Osobní údaje jsou zpracovávány výhradně v EU/EHP; jakýkoli přístup z třetích zemí (včetně vzdálené podpory) jen s předchozím písemným souhlasem Banky.</t>
        </is>
      </c>
      <c r="C15" s="17" t="inlineStr">
        <is>
          <t>Matice shody, FS kap. 9.1</t>
        </is>
      </c>
      <c r="D15" s="18" t="inlineStr">
        <is>
          <t>PASS</t>
        </is>
      </c>
      <c r="E15" s="18" t="inlineStr">
        <is>
          <t>PASS</t>
        </is>
      </c>
      <c r="F15" s="18" t="inlineStr">
        <is>
          <t>FAIL</t>
        </is>
      </c>
      <c r="G15" s="17" t="inlineStr">
        <is>
          <t>Dodavatel C: Neakceptuje omezení vzdáleného přístupu z třetích zemí.</t>
        </is>
      </c>
    </row>
    <row r="16">
      <c r="A16" s="16" t="inlineStr">
        <is>
          <t>LEG-002</t>
        </is>
      </c>
      <c r="B16" s="17" t="inlineStr">
        <is>
          <t>Uzavření smlouvy o zpracování osobních údajů dle čl. 28 GDPR na vzoru Banky.</t>
        </is>
      </c>
      <c r="C16" s="17" t="inlineStr">
        <is>
          <t>Matice shody, FS kap. 9.1</t>
        </is>
      </c>
      <c r="D16" s="18" t="inlineStr">
        <is>
          <t>PASS</t>
        </is>
      </c>
      <c r="E16" s="18" t="inlineStr">
        <is>
          <t>PASS</t>
        </is>
      </c>
      <c r="F16" s="18" t="inlineStr">
        <is>
          <t>PASS</t>
        </is>
      </c>
      <c r="G16" s="17" t="inlineStr"/>
    </row>
    <row r="17">
      <c r="B17" s="13" t="inlineStr">
        <is>
          <t>Výsledek K.O. brány</t>
        </is>
      </c>
      <c r="D17" s="19">
        <f>IF(COUNTIF(D6:D16,"FAIL")&gt;0,"VYŘAZEN",IF(COUNTIF(D6:D16,"PASS")=11,"POSTUPUJE","NEÚPLNÉ"))</f>
        <v/>
      </c>
      <c r="E17" s="19">
        <f>IF(COUNTIF(E6:E16,"FAIL")&gt;0,"VYŘAZEN",IF(COUNTIF(E6:E16,"PASS")=11,"POSTUPUJE","NEÚPLNÉ"))</f>
        <v/>
      </c>
      <c r="F17" s="19">
        <f>IF(COUNTIF(F6:F16,"FAIL")&gt;0,"VYŘAZEN",IF(COUNTIF(F6:F16,"PASS")=11,"POSTUPUJE","NEÚPLNÉ"))</f>
        <v/>
      </c>
    </row>
  </sheetData>
  <conditionalFormatting sqref="D6:F17">
    <cfRule type="cellIs" priority="1" operator="equal" dxfId="0">
      <formula>"FAIL"</formula>
    </cfRule>
    <cfRule type="cellIs" priority="2" operator="equal" dxfId="0">
      <formula>"VYŘAZEN"</formula>
    </cfRule>
    <cfRule type="cellIs" priority="3" operator="equal" dxfId="1">
      <formula>"POSTUPUJE"</formula>
    </cfRule>
  </conditionalFormatting>
  <dataValidations count="1">
    <dataValidation sqref="D6:F16" showDropDown="0" showInputMessage="0" showErrorMessage="0" allowBlank="1" errorTitle="Neplatná hodnota" error="Vyberte hodnotu ze seznamu." type="list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8" customWidth="1" min="3" max="3"/>
    <col width="6" customWidth="1" min="4" max="4"/>
    <col width="13" customWidth="1" min="5" max="5"/>
    <col width="8" customWidth="1" min="6" max="6"/>
    <col width="10" customWidth="1" min="7" max="7"/>
    <col width="9" customWidth="1" min="8" max="8"/>
    <col width="13" customWidth="1" min="9" max="9"/>
    <col width="8" customWidth="1" min="10" max="10"/>
    <col width="10" customWidth="1" min="11" max="11"/>
    <col width="9" customWidth="1" min="12" max="12"/>
    <col width="13" customWidth="1" min="13" max="13"/>
    <col width="8" customWidth="1" min="14" max="14"/>
    <col width="10" customWidth="1" min="15" max="15"/>
    <col width="9" customWidth="1" min="16" max="16"/>
    <col width="50" customWidth="1" min="17" max="17"/>
  </cols>
  <sheetData>
    <row r="1">
      <c r="A1" s="1" t="inlineStr">
        <is>
          <t>2 – Byznys funkcionality (30 %) – odpovědi z Matice shody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 ht="42" customHeight="1">
      <c r="A5" s="10" t="inlineStr">
        <is>
          <t>ID</t>
        </is>
      </c>
      <c r="B5" s="10" t="inlineStr">
        <is>
          <t>Požadavek</t>
        </is>
      </c>
      <c r="C5" s="10" t="inlineStr">
        <is>
          <t>MoSCoW</t>
        </is>
      </c>
      <c r="D5" s="10" t="inlineStr">
        <is>
          <t>Váha</t>
        </is>
      </c>
      <c r="E5" s="20" t="inlineStr">
        <is>
          <t>Dodavatel A
Odpověď</t>
        </is>
      </c>
      <c r="F5" s="20" t="inlineStr">
        <is>
          <t>Odkaz FS</t>
        </is>
      </c>
      <c r="G5" s="15" t="inlineStr">
        <is>
          <t>Ověřeno (FS/demo)</t>
        </is>
      </c>
      <c r="H5" s="21" t="inlineStr">
        <is>
          <t>Uznané body</t>
        </is>
      </c>
      <c r="I5" s="20" t="inlineStr">
        <is>
          <t>Dodavatel B
Odpověď</t>
        </is>
      </c>
      <c r="J5" s="20" t="inlineStr">
        <is>
          <t>Odkaz FS</t>
        </is>
      </c>
      <c r="K5" s="15" t="inlineStr">
        <is>
          <t>Ověřeno (FS/demo)</t>
        </is>
      </c>
      <c r="L5" s="21" t="inlineStr">
        <is>
          <t>Uznané body</t>
        </is>
      </c>
      <c r="M5" s="20" t="inlineStr">
        <is>
          <t>Dodavatel C
Odpověď</t>
        </is>
      </c>
      <c r="N5" s="20" t="inlineStr">
        <is>
          <t>Odkaz FS</t>
        </is>
      </c>
      <c r="O5" s="15" t="inlineStr">
        <is>
          <t>Ověřeno (FS/demo)</t>
        </is>
      </c>
      <c r="P5" s="21" t="inlineStr">
        <is>
          <t>Uznané body</t>
        </is>
      </c>
      <c r="Q5" s="15" t="inlineStr">
        <is>
          <t>Zdůvodnění komise (povinné při snížení bodů)</t>
        </is>
      </c>
    </row>
    <row r="6">
      <c r="A6" s="16" t="inlineStr">
        <is>
          <t>KYC-001</t>
        </is>
      </c>
      <c r="B6" s="17" t="inlineStr">
        <is>
          <t>Systém při onboardingu automaticky vypočte rizikový profil klienta (nízké / střední / vysoké / nepřijatelné riziko) z konfigurovatelných rizikových faktorů: typ klienta, země (bydliště, občanství, sídlo, zdroj majetku), produkt, distribuční kanál, objem aktiv a struktura vlastnictví.</t>
        </is>
      </c>
      <c r="C6" s="22" t="inlineStr">
        <is>
          <t>Must</t>
        </is>
      </c>
      <c r="D6" s="22">
        <f>IF(C6="Must",3,IF(C6="Should",2,IF(C6="Could",1,0)))</f>
        <v/>
      </c>
      <c r="E6" s="23" t="inlineStr">
        <is>
          <t>Konfigurace</t>
        </is>
      </c>
      <c r="F6" s="23" t="inlineStr">
        <is>
          <t>6.1</t>
        </is>
      </c>
      <c r="G6" s="18" t="inlineStr">
        <is>
          <t>Ano</t>
        </is>
      </c>
      <c r="H6" s="24">
        <f>IF(E6="","",IF(OR(AND(OR(E6="OOTB",E6="Konfigurace",E6="Custom vývoj"),F6=""),G6="Ne"),0,IF(E6="OOTB",5,IF(E6="Konfigurace",3,IF(E6="Custom vývoj",1,0)))))</f>
        <v/>
      </c>
      <c r="I6" s="23" t="inlineStr">
        <is>
          <t>Konfigurace</t>
        </is>
      </c>
      <c r="J6" s="23" t="inlineStr">
        <is>
          <t>6.1</t>
        </is>
      </c>
      <c r="K6" s="18" t="inlineStr">
        <is>
          <t>Ano</t>
        </is>
      </c>
      <c r="L6" s="24">
        <f>IF(I6="","",IF(OR(AND(OR(I6="OOTB",I6="Konfigurace",I6="Custom vývoj"),J6=""),K6="Ne"),0,IF(I6="OOTB",5,IF(I6="Konfigurace",3,IF(I6="Custom vývoj",1,0)))))</f>
        <v/>
      </c>
      <c r="M6" s="23" t="inlineStr">
        <is>
          <t>OOTB</t>
        </is>
      </c>
      <c r="N6" s="23" t="inlineStr">
        <is>
          <t>6.1</t>
        </is>
      </c>
      <c r="O6" s="18" t="inlineStr">
        <is>
          <t>Ano</t>
        </is>
      </c>
      <c r="P6" s="24">
        <f>IF(M6="","",IF(OR(AND(OR(M6="OOTB",M6="Konfigurace",M6="Custom vývoj"),N6=""),O6="Ne"),0,IF(M6="OOTB",5,IF(M6="Konfigurace",3,IF(M6="Custom vývoj",1,0)))))</f>
        <v/>
      </c>
      <c r="Q6" s="17" t="inlineStr"/>
    </row>
    <row r="7">
      <c r="A7" s="16" t="inlineStr">
        <is>
          <t>KYC-002</t>
        </is>
      </c>
      <c r="B7" s="17" t="inlineStr">
        <is>
          <t>U každého výpočtu rizikového profilu je uložen vstup, použitá verze rizikového modelu, dílčí skóre faktorů a výsledné zdůvodnění; výpočet lze zpětně zrekonstruovat.</t>
        </is>
      </c>
      <c r="C7" s="22" t="inlineStr">
        <is>
          <t>Must</t>
        </is>
      </c>
      <c r="D7" s="22">
        <f>IF(C7="Must",3,IF(C7="Should",2,IF(C7="Could",1,0)))</f>
        <v/>
      </c>
      <c r="E7" s="23" t="inlineStr">
        <is>
          <t>Konfigurace</t>
        </is>
      </c>
      <c r="F7" s="23" t="inlineStr">
        <is>
          <t>9.2</t>
        </is>
      </c>
      <c r="G7" s="18" t="inlineStr">
        <is>
          <t>Ano</t>
        </is>
      </c>
      <c r="H7" s="24">
        <f>IF(E7="","",IF(OR(AND(OR(E7="OOTB",E7="Konfigurace",E7="Custom vývoj"),F7=""),G7="Ne"),0,IF(E7="OOTB",5,IF(E7="Konfigurace",3,IF(E7="Custom vývoj",1,0)))))</f>
        <v/>
      </c>
      <c r="I7" s="23" t="inlineStr">
        <is>
          <t>3rd party</t>
        </is>
      </c>
      <c r="J7" s="23" t="inlineStr"/>
      <c r="K7" s="18" t="inlineStr"/>
      <c r="L7" s="24">
        <f>IF(I7="","",IF(OR(AND(OR(I7="OOTB",I7="Konfigurace",I7="Custom vývoj"),J7=""),K7="Ne"),0,IF(I7="OOTB",5,IF(I7="Konfigurace",3,IF(I7="Custom vývoj",1,0)))))</f>
        <v/>
      </c>
      <c r="M7" s="23" t="inlineStr">
        <is>
          <t>Nesplněno</t>
        </is>
      </c>
      <c r="N7" s="23" t="inlineStr"/>
      <c r="O7" s="18" t="inlineStr"/>
      <c r="P7" s="24">
        <f>IF(M7="","",IF(OR(AND(OR(M7="OOTB",M7="Konfigurace",M7="Custom vývoj"),N7=""),O7="Ne"),0,IF(M7="OOTB",5,IF(M7="Konfigurace",3,IF(M7="Custom vývoj",1,0)))))</f>
        <v/>
      </c>
      <c r="Q7" s="17" t="inlineStr"/>
    </row>
    <row r="8">
      <c r="A8" s="16" t="inlineStr">
        <is>
          <t>KYC-003</t>
        </is>
      </c>
      <c r="B8" s="17" t="inlineStr">
        <is>
          <t>Systém vynutí zesílenou kontrolu (EDD) pro vysoce rizikové klienty, PEP a klienty s vazbou na vysoce rizikové třetí země dle seznamu Evropské komise; workflow obsahuje povinné kroky, schválení vedoucím a uložení podkladů.</t>
        </is>
      </c>
      <c r="C8" s="22" t="inlineStr">
        <is>
          <t>Must</t>
        </is>
      </c>
      <c r="D8" s="22">
        <f>IF(C8="Must",3,IF(C8="Should",2,IF(C8="Could",1,0)))</f>
        <v/>
      </c>
      <c r="E8" s="23" t="inlineStr">
        <is>
          <t>OOTB</t>
        </is>
      </c>
      <c r="F8" s="23" t="inlineStr">
        <is>
          <t>6.1</t>
        </is>
      </c>
      <c r="G8" s="18" t="inlineStr">
        <is>
          <t>Ano</t>
        </is>
      </c>
      <c r="H8" s="24">
        <f>IF(E8="","",IF(OR(AND(OR(E8="OOTB",E8="Konfigurace",E8="Custom vývoj"),F8=""),G8="Ne"),0,IF(E8="OOTB",5,IF(E8="Konfigurace",3,IF(E8="Custom vývoj",1,0)))))</f>
        <v/>
      </c>
      <c r="I8" s="23" t="inlineStr">
        <is>
          <t>Konfigurace</t>
        </is>
      </c>
      <c r="J8" s="23" t="inlineStr">
        <is>
          <t>6.1</t>
        </is>
      </c>
      <c r="K8" s="18" t="inlineStr">
        <is>
          <t>Ano</t>
        </is>
      </c>
      <c r="L8" s="24">
        <f>IF(I8="","",IF(OR(AND(OR(I8="OOTB",I8="Konfigurace",I8="Custom vývoj"),J8=""),K8="Ne"),0,IF(I8="OOTB",5,IF(I8="Konfigurace",3,IF(I8="Custom vývoj",1,0)))))</f>
        <v/>
      </c>
      <c r="M8" s="23" t="inlineStr">
        <is>
          <t>OOTB</t>
        </is>
      </c>
      <c r="N8" s="23" t="inlineStr">
        <is>
          <t>6.1</t>
        </is>
      </c>
      <c r="O8" s="18" t="inlineStr">
        <is>
          <t>Ano</t>
        </is>
      </c>
      <c r="P8" s="24">
        <f>IF(M8="","",IF(OR(AND(OR(M8="OOTB",M8="Konfigurace",M8="Custom vývoj"),N8=""),O8="Ne"),0,IF(M8="OOTB",5,IF(M8="Konfigurace",3,IF(M8="Custom vývoj",1,0)))))</f>
        <v/>
      </c>
      <c r="Q8" s="17" t="inlineStr"/>
    </row>
    <row r="9">
      <c r="A9" s="16" t="inlineStr">
        <is>
          <t>KYC-004</t>
        </is>
      </c>
      <c r="B9" s="17" t="inlineStr">
        <is>
          <t>Evidence a ověření skutečného majitele (UBO) včetně vícevrstvých vlastnických struktur (holdingy, svěřenské fondy, trusty, nadace) s grafickou vizualizací struktury a výpočtem nepřímého podílu.</t>
        </is>
      </c>
      <c r="C9" s="22" t="inlineStr">
        <is>
          <t>Must</t>
        </is>
      </c>
      <c r="D9" s="22">
        <f>IF(C9="Must",3,IF(C9="Should",2,IF(C9="Could",1,0)))</f>
        <v/>
      </c>
      <c r="E9" s="23" t="inlineStr">
        <is>
          <t>OOTB</t>
        </is>
      </c>
      <c r="F9" s="23" t="inlineStr">
        <is>
          <t>6.1</t>
        </is>
      </c>
      <c r="G9" s="18" t="inlineStr">
        <is>
          <t>Ano</t>
        </is>
      </c>
      <c r="H9" s="24">
        <f>IF(E9="","",IF(OR(AND(OR(E9="OOTB",E9="Konfigurace",E9="Custom vývoj"),F9=""),G9="Ne"),0,IF(E9="OOTB",5,IF(E9="Konfigurace",3,IF(E9="Custom vývoj",1,0)))))</f>
        <v/>
      </c>
      <c r="I9" s="23" t="inlineStr">
        <is>
          <t>OOTB</t>
        </is>
      </c>
      <c r="J9" s="23" t="inlineStr">
        <is>
          <t>6.1</t>
        </is>
      </c>
      <c r="K9" s="18" t="inlineStr">
        <is>
          <t>Ano</t>
        </is>
      </c>
      <c r="L9" s="24">
        <f>IF(I9="","",IF(OR(AND(OR(I9="OOTB",I9="Konfigurace",I9="Custom vývoj"),J9=""),K9="Ne"),0,IF(I9="OOTB",5,IF(I9="Konfigurace",3,IF(I9="Custom vývoj",1,0)))))</f>
        <v/>
      </c>
      <c r="M9" s="23" t="inlineStr">
        <is>
          <t>Konfigurace</t>
        </is>
      </c>
      <c r="N9" s="23" t="inlineStr">
        <is>
          <t>6.1</t>
        </is>
      </c>
      <c r="O9" s="18" t="inlineStr">
        <is>
          <t>Ano</t>
        </is>
      </c>
      <c r="P9" s="24">
        <f>IF(M9="","",IF(OR(AND(OR(M9="OOTB",M9="Konfigurace",M9="Custom vývoj"),N9=""),O9="Ne"),0,IF(M9="OOTB",5,IF(M9="Konfigurace",3,IF(M9="Custom vývoj",1,0)))))</f>
        <v/>
      </c>
      <c r="Q9" s="17" t="inlineStr"/>
    </row>
    <row r="10">
      <c r="A10" s="16" t="inlineStr">
        <is>
          <t>KYC-005</t>
        </is>
      </c>
      <c r="B10" s="17" t="inlineStr">
        <is>
          <t>Porovnání evidovaných skutečných majitelů s Evidencí skutečných majitelů (ESM) a podpora procesu hlášení nesrovnalosti.</t>
        </is>
      </c>
      <c r="C10" s="22" t="inlineStr">
        <is>
          <t>Should</t>
        </is>
      </c>
      <c r="D10" s="22">
        <f>IF(C10="Must",3,IF(C10="Should",2,IF(C10="Could",1,0)))</f>
        <v/>
      </c>
      <c r="E10" s="23" t="inlineStr">
        <is>
          <t>Konfigurace</t>
        </is>
      </c>
      <c r="F10" s="23" t="inlineStr">
        <is>
          <t>5.6</t>
        </is>
      </c>
      <c r="G10" s="18" t="inlineStr">
        <is>
          <t>Ano</t>
        </is>
      </c>
      <c r="H10" s="24">
        <f>IF(E10="","",IF(OR(AND(OR(E10="OOTB",E10="Konfigurace",E10="Custom vývoj"),F10=""),G10="Ne"),0,IF(E10="OOTB",5,IF(E10="Konfigurace",3,IF(E10="Custom vývoj",1,0)))))</f>
        <v/>
      </c>
      <c r="I10" s="23" t="inlineStr">
        <is>
          <t>OOTB</t>
        </is>
      </c>
      <c r="J10" s="23" t="inlineStr">
        <is>
          <t>5.6</t>
        </is>
      </c>
      <c r="K10" s="18" t="inlineStr">
        <is>
          <t>Ano</t>
        </is>
      </c>
      <c r="L10" s="24">
        <f>IF(I10="","",IF(OR(AND(OR(I10="OOTB",I10="Konfigurace",I10="Custom vývoj"),J10=""),K10="Ne"),0,IF(I10="OOTB",5,IF(I10="Konfigurace",3,IF(I10="Custom vývoj",1,0)))))</f>
        <v/>
      </c>
      <c r="M10" s="23" t="inlineStr">
        <is>
          <t>OOTB</t>
        </is>
      </c>
      <c r="N10" s="23" t="inlineStr">
        <is>
          <t>5.6</t>
        </is>
      </c>
      <c r="O10" s="18" t="inlineStr">
        <is>
          <t>Ano</t>
        </is>
      </c>
      <c r="P10" s="24">
        <f>IF(M10="","",IF(OR(AND(OR(M10="OOTB",M10="Konfigurace",M10="Custom vývoj"),N10=""),O10="Ne"),0,IF(M10="OOTB",5,IF(M10="Konfigurace",3,IF(M10="Custom vývoj",1,0)))))</f>
        <v/>
      </c>
      <c r="Q10" s="17" t="inlineStr"/>
    </row>
    <row r="11">
      <c r="A11" s="16" t="inlineStr">
        <is>
          <t>KYC-006</t>
        </is>
      </c>
      <c r="B11" s="17" t="inlineStr">
        <is>
          <t>Načtení údajů o právnické osobě z veřejných rejstříků (ARES, obchodní rejstřík) při onboardingu i při revizi.</t>
        </is>
      </c>
      <c r="C11" s="22" t="inlineStr">
        <is>
          <t>Should</t>
        </is>
      </c>
      <c r="D11" s="22">
        <f>IF(C11="Must",3,IF(C11="Should",2,IF(C11="Could",1,0)))</f>
        <v/>
      </c>
      <c r="E11" s="23" t="inlineStr">
        <is>
          <t>OOTB</t>
        </is>
      </c>
      <c r="F11" s="23" t="inlineStr">
        <is>
          <t>5.6</t>
        </is>
      </c>
      <c r="G11" s="18" t="inlineStr">
        <is>
          <t>Ano</t>
        </is>
      </c>
      <c r="H11" s="24">
        <f>IF(E11="","",IF(OR(AND(OR(E11="OOTB",E11="Konfigurace",E11="Custom vývoj"),F11=""),G11="Ne"),0,IF(E11="OOTB",5,IF(E11="Konfigurace",3,IF(E11="Custom vývoj",1,0)))))</f>
        <v/>
      </c>
      <c r="I11" s="23" t="inlineStr">
        <is>
          <t>Konfigurace</t>
        </is>
      </c>
      <c r="J11" s="23" t="inlineStr">
        <is>
          <t>5.6</t>
        </is>
      </c>
      <c r="K11" s="18" t="inlineStr">
        <is>
          <t>Ano</t>
        </is>
      </c>
      <c r="L11" s="24">
        <f>IF(I11="","",IF(OR(AND(OR(I11="OOTB",I11="Konfigurace",I11="Custom vývoj"),J11=""),K11="Ne"),0,IF(I11="OOTB",5,IF(I11="Konfigurace",3,IF(I11="Custom vývoj",1,0)))))</f>
        <v/>
      </c>
      <c r="M11" s="23" t="inlineStr">
        <is>
          <t>Konfigurace</t>
        </is>
      </c>
      <c r="N11" s="23" t="inlineStr">
        <is>
          <t>5.6</t>
        </is>
      </c>
      <c r="O11" s="18" t="inlineStr">
        <is>
          <t>Ano</t>
        </is>
      </c>
      <c r="P11" s="24">
        <f>IF(M11="","",IF(OR(AND(OR(M11="OOTB",M11="Konfigurace",M11="Custom vývoj"),N11=""),O11="Ne"),0,IF(M11="OOTB",5,IF(M11="Konfigurace",3,IF(M11="Custom vývoj",1,0)))))</f>
        <v/>
      </c>
      <c r="Q11" s="17" t="inlineStr"/>
    </row>
    <row r="12">
      <c r="A12" s="16" t="inlineStr">
        <is>
          <t>KYC-007</t>
        </is>
      </c>
      <c r="B12" s="17" t="inlineStr">
        <is>
          <t>Příjem výsledku vzdálené identifikace klienta prostřednictvím bankovní identity (BankID) a jeho uložení jako důkazu o identifikaci.</t>
        </is>
      </c>
      <c r="C12" s="22" t="inlineStr">
        <is>
          <t>Could</t>
        </is>
      </c>
      <c r="D12" s="22">
        <f>IF(C12="Must",3,IF(C12="Should",2,IF(C12="Could",1,0)))</f>
        <v/>
      </c>
      <c r="E12" s="23" t="inlineStr">
        <is>
          <t>OOTB</t>
        </is>
      </c>
      <c r="F12" s="23" t="inlineStr">
        <is>
          <t>5.6</t>
        </is>
      </c>
      <c r="G12" s="18" t="inlineStr">
        <is>
          <t>Ano</t>
        </is>
      </c>
      <c r="H12" s="24">
        <f>IF(E12="","",IF(OR(AND(OR(E12="OOTB",E12="Konfigurace",E12="Custom vývoj"),F12=""),G12="Ne"),0,IF(E12="OOTB",5,IF(E12="Konfigurace",3,IF(E12="Custom vývoj",1,0)))))</f>
        <v/>
      </c>
      <c r="I12" s="23" t="inlineStr">
        <is>
          <t>3rd party</t>
        </is>
      </c>
      <c r="J12" s="23" t="inlineStr"/>
      <c r="K12" s="18" t="inlineStr"/>
      <c r="L12" s="24">
        <f>IF(I12="","",IF(OR(AND(OR(I12="OOTB",I12="Konfigurace",I12="Custom vývoj"),J12=""),K12="Ne"),0,IF(I12="OOTB",5,IF(I12="Konfigurace",3,IF(I12="Custom vývoj",1,0)))))</f>
        <v/>
      </c>
      <c r="M12" s="23" t="inlineStr">
        <is>
          <t>OOTB</t>
        </is>
      </c>
      <c r="N12" s="23" t="inlineStr">
        <is>
          <t>5.6</t>
        </is>
      </c>
      <c r="O12" s="18" t="inlineStr">
        <is>
          <t>Ano</t>
        </is>
      </c>
      <c r="P12" s="24">
        <f>IF(M12="","",IF(OR(AND(OR(M12="OOTB",M12="Konfigurace",M12="Custom vývoj"),N12=""),O12="Ne"),0,IF(M12="OOTB",5,IF(M12="Konfigurace",3,IF(M12="Custom vývoj",1,0)))))</f>
        <v/>
      </c>
      <c r="Q12" s="17" t="inlineStr"/>
    </row>
    <row r="13">
      <c r="A13" s="16" t="inlineStr">
        <is>
          <t>KYC-008</t>
        </is>
      </c>
      <c r="B13" s="17" t="inlineStr">
        <is>
          <t>Periodická revize klienta plánovaná podle rizikovosti (vysoké 1 rok, střední 3 roky, nízké 5 let – konfigurovatelné) s automatickým založením úkolu pro obchodníka v CRM.</t>
        </is>
      </c>
      <c r="C13" s="22" t="inlineStr">
        <is>
          <t>Must</t>
        </is>
      </c>
      <c r="D13" s="22">
        <f>IF(C13="Must",3,IF(C13="Should",2,IF(C13="Could",1,0)))</f>
        <v/>
      </c>
      <c r="E13" s="23" t="inlineStr">
        <is>
          <t>Konfigurace</t>
        </is>
      </c>
      <c r="F13" s="23" t="inlineStr">
        <is>
          <t>6.1</t>
        </is>
      </c>
      <c r="G13" s="18" t="inlineStr">
        <is>
          <t>Ano</t>
        </is>
      </c>
      <c r="H13" s="24">
        <f>IF(E13="","",IF(OR(AND(OR(E13="OOTB",E13="Konfigurace",E13="Custom vývoj"),F13=""),G13="Ne"),0,IF(E13="OOTB",5,IF(E13="Konfigurace",3,IF(E13="Custom vývoj",1,0)))))</f>
        <v/>
      </c>
      <c r="I13" s="23" t="inlineStr">
        <is>
          <t>Konfigurace</t>
        </is>
      </c>
      <c r="J13" s="23" t="inlineStr">
        <is>
          <t>6.1</t>
        </is>
      </c>
      <c r="K13" s="18" t="inlineStr">
        <is>
          <t>Ano</t>
        </is>
      </c>
      <c r="L13" s="24">
        <f>IF(I13="","",IF(OR(AND(OR(I13="OOTB",I13="Konfigurace",I13="Custom vývoj"),J13=""),K13="Ne"),0,IF(I13="OOTB",5,IF(I13="Konfigurace",3,IF(I13="Custom vývoj",1,0)))))</f>
        <v/>
      </c>
      <c r="M13" s="23" t="inlineStr">
        <is>
          <t>OOTB</t>
        </is>
      </c>
      <c r="N13" s="23" t="inlineStr">
        <is>
          <t>6.1</t>
        </is>
      </c>
      <c r="O13" s="18" t="inlineStr">
        <is>
          <t>Ano</t>
        </is>
      </c>
      <c r="P13" s="24">
        <f>IF(M13="","",IF(OR(AND(OR(M13="OOTB",M13="Konfigurace",M13="Custom vývoj"),N13=""),O13="Ne"),0,IF(M13="OOTB",5,IF(M13="Konfigurace",3,IF(M13="Custom vývoj",1,0)))))</f>
        <v/>
      </c>
      <c r="Q13" s="17" t="inlineStr"/>
    </row>
    <row r="14">
      <c r="A14" s="16" t="inlineStr">
        <is>
          <t>KYC-009</t>
        </is>
      </c>
      <c r="B14" s="17" t="inlineStr">
        <is>
          <t>Událostmi řízená revize: změna rizikově relevantního údaje v CRM (adresa, státní občanství, UBO, předmět podnikání) vyvolá přepočet rizikového profilu a re-screening do 15 minut.</t>
        </is>
      </c>
      <c r="C14" s="22" t="inlineStr">
        <is>
          <t>Must</t>
        </is>
      </c>
      <c r="D14" s="22">
        <f>IF(C14="Must",3,IF(C14="Should",2,IF(C14="Could",1,0)))</f>
        <v/>
      </c>
      <c r="E14" s="23" t="inlineStr">
        <is>
          <t>OOTB</t>
        </is>
      </c>
      <c r="F14" s="23" t="inlineStr">
        <is>
          <t>5.1</t>
        </is>
      </c>
      <c r="G14" s="18" t="inlineStr">
        <is>
          <t>Ano</t>
        </is>
      </c>
      <c r="H14" s="24">
        <f>IF(E14="","",IF(OR(AND(OR(E14="OOTB",E14="Konfigurace",E14="Custom vývoj"),F14=""),G14="Ne"),0,IF(E14="OOTB",5,IF(E14="Konfigurace",3,IF(E14="Custom vývoj",1,0)))))</f>
        <v/>
      </c>
      <c r="I14" s="23" t="inlineStr">
        <is>
          <t>Custom vývoj</t>
        </is>
      </c>
      <c r="J14" s="23" t="inlineStr">
        <is>
          <t>6.6</t>
        </is>
      </c>
      <c r="K14" s="18" t="inlineStr">
        <is>
          <t>Ano</t>
        </is>
      </c>
      <c r="L14" s="24">
        <f>IF(I14="","",IF(OR(AND(OR(I14="OOTB",I14="Konfigurace",I14="Custom vývoj"),J14=""),K14="Ne"),0,IF(I14="OOTB",5,IF(I14="Konfigurace",3,IF(I14="Custom vývoj",1,0)))))</f>
        <v/>
      </c>
      <c r="M14" s="23" t="inlineStr">
        <is>
          <t>OOTB</t>
        </is>
      </c>
      <c r="N14" s="23" t="inlineStr">
        <is>
          <t>5.1</t>
        </is>
      </c>
      <c r="O14" s="18" t="inlineStr">
        <is>
          <t>Ano</t>
        </is>
      </c>
      <c r="P14" s="24">
        <f>IF(M14="","",IF(OR(AND(OR(M14="OOTB",M14="Konfigurace",M14="Custom vývoj"),N14=""),O14="Ne"),0,IF(M14="OOTB",5,IF(M14="Konfigurace",3,IF(M14="Custom vývoj",1,0)))))</f>
        <v/>
      </c>
      <c r="Q14" s="17" t="inlineStr"/>
    </row>
    <row r="15">
      <c r="A15" s="16" t="inlineStr">
        <is>
          <t>KYC-010</t>
        </is>
      </c>
      <c r="B15" s="17" t="inlineStr">
        <is>
          <t>Strukturovaný dotazník ke zdroji majetku (SoW) a zdroji finančních prostředků (SoF) s možností přiložit doklady, s verzováním odpovědí a vyhodnocením věrohodnosti.</t>
        </is>
      </c>
      <c r="C15" s="22" t="inlineStr">
        <is>
          <t>Must</t>
        </is>
      </c>
      <c r="D15" s="22">
        <f>IF(C15="Must",3,IF(C15="Should",2,IF(C15="Could",1,0)))</f>
        <v/>
      </c>
      <c r="E15" s="23" t="inlineStr">
        <is>
          <t>Custom vývoj</t>
        </is>
      </c>
      <c r="F15" s="23" t="inlineStr">
        <is>
          <t>6.6</t>
        </is>
      </c>
      <c r="G15" s="18" t="inlineStr">
        <is>
          <t>Ano</t>
        </is>
      </c>
      <c r="H15" s="24">
        <f>IF(E15="","",IF(OR(AND(OR(E15="OOTB",E15="Konfigurace",E15="Custom vývoj"),F15=""),G15="Ne"),0,IF(E15="OOTB",5,IF(E15="Konfigurace",3,IF(E15="Custom vývoj",1,0)))))</f>
        <v/>
      </c>
      <c r="I15" s="23" t="inlineStr">
        <is>
          <t>Custom vývoj</t>
        </is>
      </c>
      <c r="J15" s="23" t="inlineStr">
        <is>
          <t>6.6</t>
        </is>
      </c>
      <c r="K15" s="18" t="inlineStr">
        <is>
          <t>Ano</t>
        </is>
      </c>
      <c r="L15" s="24">
        <f>IF(I15="","",IF(OR(AND(OR(I15="OOTB",I15="Konfigurace",I15="Custom vývoj"),J15=""),K15="Ne"),0,IF(I15="OOTB",5,IF(I15="Konfigurace",3,IF(I15="Custom vývoj",1,0)))))</f>
        <v/>
      </c>
      <c r="M15" s="23" t="inlineStr">
        <is>
          <t>Nesplněno</t>
        </is>
      </c>
      <c r="N15" s="23" t="inlineStr"/>
      <c r="O15" s="18" t="inlineStr"/>
      <c r="P15" s="24">
        <f>IF(M15="","",IF(OR(AND(OR(M15="OOTB",M15="Konfigurace",M15="Custom vývoj"),N15=""),O15="Ne"),0,IF(M15="OOTB",5,IF(M15="Konfigurace",3,IF(M15="Custom vývoj",1,0)))))</f>
        <v/>
      </c>
      <c r="Q15" s="17" t="inlineStr"/>
    </row>
    <row r="16">
      <c r="A16" s="16" t="inlineStr">
        <is>
          <t>KYC-011</t>
        </is>
      </c>
      <c r="B16" s="17" t="inlineStr">
        <is>
          <t>Obchodník vidí stav KYC, rizikovost, termín revize a otevřené případy klienta přímo v CRM bez přepnutí do jiné aplikace (embedded komponenta nebo API).</t>
        </is>
      </c>
      <c r="C16" s="22" t="inlineStr">
        <is>
          <t>Must</t>
        </is>
      </c>
      <c r="D16" s="22">
        <f>IF(C16="Must",3,IF(C16="Should",2,IF(C16="Could",1,0)))</f>
        <v/>
      </c>
      <c r="E16" s="23" t="inlineStr">
        <is>
          <t>Konfigurace</t>
        </is>
      </c>
      <c r="F16" s="23" t="inlineStr">
        <is>
          <t>5.1</t>
        </is>
      </c>
      <c r="G16" s="18" t="inlineStr">
        <is>
          <t>Ano</t>
        </is>
      </c>
      <c r="H16" s="24">
        <f>IF(E16="","",IF(OR(AND(OR(E16="OOTB",E16="Konfigurace",E16="Custom vývoj"),F16=""),G16="Ne"),0,IF(E16="OOTB",5,IF(E16="Konfigurace",3,IF(E16="Custom vývoj",1,0)))))</f>
        <v/>
      </c>
      <c r="I16" s="23" t="inlineStr">
        <is>
          <t>Custom vývoj</t>
        </is>
      </c>
      <c r="J16" s="23" t="inlineStr">
        <is>
          <t>6.6</t>
        </is>
      </c>
      <c r="K16" s="18" t="inlineStr">
        <is>
          <t>Ano</t>
        </is>
      </c>
      <c r="L16" s="24">
        <f>IF(I16="","",IF(OR(AND(OR(I16="OOTB",I16="Konfigurace",I16="Custom vývoj"),J16=""),K16="Ne"),0,IF(I16="OOTB",5,IF(I16="Konfigurace",3,IF(I16="Custom vývoj",1,0)))))</f>
        <v/>
      </c>
      <c r="M16" s="23" t="inlineStr">
        <is>
          <t>Konfigurace</t>
        </is>
      </c>
      <c r="N16" s="23" t="inlineStr">
        <is>
          <t>5.1</t>
        </is>
      </c>
      <c r="O16" s="18" t="inlineStr">
        <is>
          <t>Ano</t>
        </is>
      </c>
      <c r="P16" s="24">
        <f>IF(M16="","",IF(OR(AND(OR(M16="OOTB",M16="Konfigurace",M16="Custom vývoj"),N16=""),O16="Ne"),0,IF(M16="OOTB",5,IF(M16="Konfigurace",3,IF(M16="Custom vývoj",1,0)))))</f>
        <v/>
      </c>
      <c r="Q16" s="17" t="inlineStr"/>
    </row>
    <row r="17">
      <c r="A17" s="16" t="inlineStr">
        <is>
          <t>KYC-012</t>
        </is>
      </c>
      <c r="B17" s="17" t="inlineStr">
        <is>
          <t>Formuláře KYC se předvyplní z dat CRM; obchodník nezadává žádný údaj dvakrát.</t>
        </is>
      </c>
      <c r="C17" s="22" t="inlineStr">
        <is>
          <t>Should</t>
        </is>
      </c>
      <c r="D17" s="22">
        <f>IF(C17="Must",3,IF(C17="Should",2,IF(C17="Could",1,0)))</f>
        <v/>
      </c>
      <c r="E17" s="23" t="inlineStr">
        <is>
          <t>OOTB</t>
        </is>
      </c>
      <c r="F17" s="23" t="inlineStr">
        <is>
          <t>5.1</t>
        </is>
      </c>
      <c r="G17" s="18" t="inlineStr">
        <is>
          <t>Ano</t>
        </is>
      </c>
      <c r="H17" s="24">
        <f>IF(E17="","",IF(OR(AND(OR(E17="OOTB",E17="Konfigurace",E17="Custom vývoj"),F17=""),G17="Ne"),0,IF(E17="OOTB",5,IF(E17="Konfigurace",3,IF(E17="Custom vývoj",1,0)))))</f>
        <v/>
      </c>
      <c r="I17" s="23" t="inlineStr">
        <is>
          <t>Custom vývoj</t>
        </is>
      </c>
      <c r="J17" s="23" t="inlineStr">
        <is>
          <t>6.6</t>
        </is>
      </c>
      <c r="K17" s="18" t="inlineStr">
        <is>
          <t>Ano</t>
        </is>
      </c>
      <c r="L17" s="24">
        <f>IF(I17="","",IF(OR(AND(OR(I17="OOTB",I17="Konfigurace",I17="Custom vývoj"),J17=""),K17="Ne"),0,IF(I17="OOTB",5,IF(I17="Konfigurace",3,IF(I17="Custom vývoj",1,0)))))</f>
        <v/>
      </c>
      <c r="M17" s="23" t="inlineStr">
        <is>
          <t>Konfigurace</t>
        </is>
      </c>
      <c r="N17" s="23" t="inlineStr">
        <is>
          <t>5.1</t>
        </is>
      </c>
      <c r="O17" s="18" t="inlineStr">
        <is>
          <t>Ano</t>
        </is>
      </c>
      <c r="P17" s="24">
        <f>IF(M17="","",IF(OR(AND(OR(M17="OOTB",M17="Konfigurace",M17="Custom vývoj"),N17=""),O17="Ne"),0,IF(M17="OOTB",5,IF(M17="Konfigurace",3,IF(M17="Custom vývoj",1,0)))))</f>
        <v/>
      </c>
      <c r="Q17" s="17" t="inlineStr"/>
    </row>
    <row r="18">
      <c r="A18" s="16" t="inlineStr">
        <is>
          <t>KYC-013</t>
        </is>
      </c>
      <c r="B18" s="17" t="inlineStr">
        <is>
          <t>Klientské formuláře a dotazníky v češtině, angličtině a němčině; další jazyk lze doplnit konfigurací.</t>
        </is>
      </c>
      <c r="C18" s="22" t="inlineStr">
        <is>
          <t>Should</t>
        </is>
      </c>
      <c r="D18" s="22">
        <f>IF(C18="Must",3,IF(C18="Should",2,IF(C18="Could",1,0)))</f>
        <v/>
      </c>
      <c r="E18" s="23" t="inlineStr">
        <is>
          <t>OOTB</t>
        </is>
      </c>
      <c r="F18" s="23" t="inlineStr">
        <is>
          <t>6.1</t>
        </is>
      </c>
      <c r="G18" s="18" t="inlineStr">
        <is>
          <t>Ano</t>
        </is>
      </c>
      <c r="H18" s="24">
        <f>IF(E18="","",IF(OR(AND(OR(E18="OOTB",E18="Konfigurace",E18="Custom vývoj"),F18=""),G18="Ne"),0,IF(E18="OOTB",5,IF(E18="Konfigurace",3,IF(E18="Custom vývoj",1,0)))))</f>
        <v/>
      </c>
      <c r="I18" s="23" t="inlineStr">
        <is>
          <t>OOTB</t>
        </is>
      </c>
      <c r="J18" s="23" t="inlineStr">
        <is>
          <t>6.1</t>
        </is>
      </c>
      <c r="K18" s="18" t="inlineStr">
        <is>
          <t>Ano</t>
        </is>
      </c>
      <c r="L18" s="24">
        <f>IF(I18="","",IF(OR(AND(OR(I18="OOTB",I18="Konfigurace",I18="Custom vývoj"),J18=""),K18="Ne"),0,IF(I18="OOTB",5,IF(I18="Konfigurace",3,IF(I18="Custom vývoj",1,0)))))</f>
        <v/>
      </c>
      <c r="M18" s="23" t="inlineStr">
        <is>
          <t>Konfigurace</t>
        </is>
      </c>
      <c r="N18" s="23" t="inlineStr">
        <is>
          <t>6.1</t>
        </is>
      </c>
      <c r="O18" s="18" t="inlineStr">
        <is>
          <t>Ano</t>
        </is>
      </c>
      <c r="P18" s="24">
        <f>IF(M18="","",IF(OR(AND(OR(M18="OOTB",M18="Konfigurace",M18="Custom vývoj"),N18=""),O18="Ne"),0,IF(M18="OOTB",5,IF(M18="Konfigurace",3,IF(M18="Custom vývoj",1,0)))))</f>
        <v/>
      </c>
      <c r="Q18" s="17" t="inlineStr"/>
    </row>
    <row r="19">
      <c r="A19" s="16" t="inlineStr">
        <is>
          <t>KYC-014</t>
        </is>
      </c>
      <c r="B19" s="17" t="inlineStr">
        <is>
          <t>Eskalace nesplněné revize: po termínu upozornění obchodníkovi, po 30 dnech jeho nadřízenému a Compliance, po 90 dnech návrh na omezení služeb.</t>
        </is>
      </c>
      <c r="C19" s="22" t="inlineStr">
        <is>
          <t>Should</t>
        </is>
      </c>
      <c r="D19" s="22">
        <f>IF(C19="Must",3,IF(C19="Should",2,IF(C19="Could",1,0)))</f>
        <v/>
      </c>
      <c r="E19" s="23" t="inlineStr">
        <is>
          <t>OOTB</t>
        </is>
      </c>
      <c r="F19" s="23" t="inlineStr">
        <is>
          <t>6.1</t>
        </is>
      </c>
      <c r="G19" s="18" t="inlineStr">
        <is>
          <t>Ano</t>
        </is>
      </c>
      <c r="H19" s="24">
        <f>IF(E19="","",IF(OR(AND(OR(E19="OOTB",E19="Konfigurace",E19="Custom vývoj"),F19=""),G19="Ne"),0,IF(E19="OOTB",5,IF(E19="Konfigurace",3,IF(E19="Custom vývoj",1,0)))))</f>
        <v/>
      </c>
      <c r="I19" s="23" t="inlineStr">
        <is>
          <t>Konfigurace</t>
        </is>
      </c>
      <c r="J19" s="23" t="inlineStr">
        <is>
          <t>6.1</t>
        </is>
      </c>
      <c r="K19" s="18" t="inlineStr">
        <is>
          <t>Ano</t>
        </is>
      </c>
      <c r="L19" s="24">
        <f>IF(I19="","",IF(OR(AND(OR(I19="OOTB",I19="Konfigurace",I19="Custom vývoj"),J19=""),K19="Ne"),0,IF(I19="OOTB",5,IF(I19="Konfigurace",3,IF(I19="Custom vývoj",1,0)))))</f>
        <v/>
      </c>
      <c r="M19" s="23" t="inlineStr">
        <is>
          <t>Konfigurace</t>
        </is>
      </c>
      <c r="N19" s="23" t="inlineStr">
        <is>
          <t>6.1</t>
        </is>
      </c>
      <c r="O19" s="18" t="inlineStr">
        <is>
          <t>Ano</t>
        </is>
      </c>
      <c r="P19" s="24">
        <f>IF(M19="","",IF(OR(AND(OR(M19="OOTB",M19="Konfigurace",M19="Custom vývoj"),N19=""),O19="Ne"),0,IF(M19="OOTB",5,IF(M19="Konfigurace",3,IF(M19="Custom vývoj",1,0)))))</f>
        <v/>
      </c>
      <c r="Q19" s="17" t="inlineStr"/>
    </row>
    <row r="20">
      <c r="A20" s="16" t="inlineStr">
        <is>
          <t>KYC-015</t>
        </is>
      </c>
      <c r="B20" s="17" t="inlineStr">
        <is>
          <t>Podpora zjednodušené kontroly klienta (SDD) pro definované kategorie klientů s nízkým rizikem.</t>
        </is>
      </c>
      <c r="C20" s="22" t="inlineStr">
        <is>
          <t>Could</t>
        </is>
      </c>
      <c r="D20" s="22">
        <f>IF(C20="Must",3,IF(C20="Should",2,IF(C20="Could",1,0)))</f>
        <v/>
      </c>
      <c r="E20" s="23" t="inlineStr">
        <is>
          <t>OOTB</t>
        </is>
      </c>
      <c r="F20" s="23" t="inlineStr">
        <is>
          <t>6.1</t>
        </is>
      </c>
      <c r="G20" s="18" t="inlineStr">
        <is>
          <t>Ano</t>
        </is>
      </c>
      <c r="H20" s="24">
        <f>IF(E20="","",IF(OR(AND(OR(E20="OOTB",E20="Konfigurace",E20="Custom vývoj"),F20=""),G20="Ne"),0,IF(E20="OOTB",5,IF(E20="Konfigurace",3,IF(E20="Custom vývoj",1,0)))))</f>
        <v/>
      </c>
      <c r="I20" s="23" t="inlineStr">
        <is>
          <t>Konfigurace</t>
        </is>
      </c>
      <c r="J20" s="23" t="inlineStr">
        <is>
          <t>6.1</t>
        </is>
      </c>
      <c r="K20" s="18" t="inlineStr">
        <is>
          <t>Ano</t>
        </is>
      </c>
      <c r="L20" s="24">
        <f>IF(I20="","",IF(OR(AND(OR(I20="OOTB",I20="Konfigurace",I20="Custom vývoj"),J20=""),K20="Ne"),0,IF(I20="OOTB",5,IF(I20="Konfigurace",3,IF(I20="Custom vývoj",1,0)))))</f>
        <v/>
      </c>
      <c r="M20" s="23" t="inlineStr">
        <is>
          <t>Konfigurace</t>
        </is>
      </c>
      <c r="N20" s="23" t="inlineStr">
        <is>
          <t>6.1</t>
        </is>
      </c>
      <c r="O20" s="18" t="inlineStr">
        <is>
          <t>Ano</t>
        </is>
      </c>
      <c r="P20" s="24">
        <f>IF(M20="","",IF(OR(AND(OR(M20="OOTB",M20="Konfigurace",M20="Custom vývoj"),N20=""),O20="Ne"),0,IF(M20="OOTB",5,IF(M20="Konfigurace",3,IF(M20="Custom vývoj",1,0)))))</f>
        <v/>
      </c>
      <c r="Q20" s="17" t="inlineStr"/>
    </row>
    <row r="21">
      <c r="A21" s="16" t="inlineStr">
        <is>
          <t>SCR-002</t>
        </is>
      </c>
      <c r="B21" s="17" t="inlineStr">
        <is>
          <t>Screening politicky exponovaných osob (PEP) včetně rodinných příslušníků a osob blízkých (RCA), s rozlišením domácích a zahraničních PEP.</t>
        </is>
      </c>
      <c r="C21" s="22" t="inlineStr">
        <is>
          <t>Must</t>
        </is>
      </c>
      <c r="D21" s="22">
        <f>IF(C21="Must",3,IF(C21="Should",2,IF(C21="Could",1,0)))</f>
        <v/>
      </c>
      <c r="E21" s="23" t="inlineStr">
        <is>
          <t>Konfigurace</t>
        </is>
      </c>
      <c r="F21" s="23" t="inlineStr">
        <is>
          <t>6.2</t>
        </is>
      </c>
      <c r="G21" s="18" t="inlineStr">
        <is>
          <t>Ano</t>
        </is>
      </c>
      <c r="H21" s="24">
        <f>IF(E21="","",IF(OR(AND(OR(E21="OOTB",E21="Konfigurace",E21="Custom vývoj"),F21=""),G21="Ne"),0,IF(E21="OOTB",5,IF(E21="Konfigurace",3,IF(E21="Custom vývoj",1,0)))))</f>
        <v/>
      </c>
      <c r="I21" s="23" t="inlineStr">
        <is>
          <t>OOTB</t>
        </is>
      </c>
      <c r="J21" s="23" t="inlineStr">
        <is>
          <t>6.2</t>
        </is>
      </c>
      <c r="K21" s="18" t="inlineStr">
        <is>
          <t>Ano</t>
        </is>
      </c>
      <c r="L21" s="24">
        <f>IF(I21="","",IF(OR(AND(OR(I21="OOTB",I21="Konfigurace",I21="Custom vývoj"),J21=""),K21="Ne"),0,IF(I21="OOTB",5,IF(I21="Konfigurace",3,IF(I21="Custom vývoj",1,0)))))</f>
        <v/>
      </c>
      <c r="M21" s="23" t="inlineStr">
        <is>
          <t>Konfigurace</t>
        </is>
      </c>
      <c r="N21" s="23" t="inlineStr">
        <is>
          <t>6.2</t>
        </is>
      </c>
      <c r="O21" s="18" t="inlineStr">
        <is>
          <t>Ano</t>
        </is>
      </c>
      <c r="P21" s="24">
        <f>IF(M21="","",IF(OR(AND(OR(M21="OOTB",M21="Konfigurace",M21="Custom vývoj"),N21=""),O21="Ne"),0,IF(M21="OOTB",5,IF(M21="Konfigurace",3,IF(M21="Custom vývoj",1,0)))))</f>
        <v/>
      </c>
      <c r="Q21" s="17" t="inlineStr"/>
    </row>
    <row r="22">
      <c r="A22" s="16" t="inlineStr">
        <is>
          <t>SCR-003</t>
        </is>
      </c>
      <c r="B22" s="17" t="inlineStr">
        <is>
          <t>Screening negativních zpráv (adverse media) s konfigurovatelnými kategoriemi (finanční kriminalita, korupce, organizovaný zločin, daňové delikty).</t>
        </is>
      </c>
      <c r="C22" s="22" t="inlineStr">
        <is>
          <t>Should</t>
        </is>
      </c>
      <c r="D22" s="22">
        <f>IF(C22="Must",3,IF(C22="Should",2,IF(C22="Could",1,0)))</f>
        <v/>
      </c>
      <c r="E22" s="23" t="inlineStr">
        <is>
          <t>OOTB</t>
        </is>
      </c>
      <c r="F22" s="23" t="inlineStr">
        <is>
          <t>6.2</t>
        </is>
      </c>
      <c r="G22" s="18" t="inlineStr">
        <is>
          <t>Ano</t>
        </is>
      </c>
      <c r="H22" s="24">
        <f>IF(E22="","",IF(OR(AND(OR(E22="OOTB",E22="Konfigurace",E22="Custom vývoj"),F22=""),G22="Ne"),0,IF(E22="OOTB",5,IF(E22="Konfigurace",3,IF(E22="Custom vývoj",1,0)))))</f>
        <v/>
      </c>
      <c r="I22" s="23" t="inlineStr">
        <is>
          <t>Konfigurace</t>
        </is>
      </c>
      <c r="J22" s="23" t="inlineStr">
        <is>
          <t>6.2</t>
        </is>
      </c>
      <c r="K22" s="18" t="inlineStr">
        <is>
          <t>Ano</t>
        </is>
      </c>
      <c r="L22" s="24">
        <f>IF(I22="","",IF(OR(AND(OR(I22="OOTB",I22="Konfigurace",I22="Custom vývoj"),J22=""),K22="Ne"),0,IF(I22="OOTB",5,IF(I22="Konfigurace",3,IF(I22="Custom vývoj",1,0)))))</f>
        <v/>
      </c>
      <c r="M22" s="23" t="inlineStr">
        <is>
          <t>Nesplněno</t>
        </is>
      </c>
      <c r="N22" s="23" t="inlineStr"/>
      <c r="O22" s="18" t="inlineStr"/>
      <c r="P22" s="24">
        <f>IF(M22="","",IF(OR(AND(OR(M22="OOTB",M22="Konfigurace",M22="Custom vývoj"),N22=""),O22="Ne"),0,IF(M22="OOTB",5,IF(M22="Konfigurace",3,IF(M22="Custom vývoj",1,0)))))</f>
        <v/>
      </c>
      <c r="Q22" s="17" t="inlineStr"/>
    </row>
    <row r="23">
      <c r="A23" s="16" t="inlineStr">
        <is>
          <t>SCR-004</t>
        </is>
      </c>
      <c r="B23" s="17" t="inlineStr">
        <is>
          <t>Denní re-screening celé klientské báze a mimořádný re-screening do 1 hodiny od zveřejnění změny sankčního seznamu EU.</t>
        </is>
      </c>
      <c r="C23" s="22" t="inlineStr">
        <is>
          <t>Must</t>
        </is>
      </c>
      <c r="D23" s="22">
        <f>IF(C23="Must",3,IF(C23="Should",2,IF(C23="Could",1,0)))</f>
        <v/>
      </c>
      <c r="E23" s="23" t="inlineStr">
        <is>
          <t>OOTB</t>
        </is>
      </c>
      <c r="F23" s="23" t="inlineStr">
        <is>
          <t>6.2</t>
        </is>
      </c>
      <c r="G23" s="18" t="inlineStr">
        <is>
          <t>Ano</t>
        </is>
      </c>
      <c r="H23" s="24">
        <f>IF(E23="","",IF(OR(AND(OR(E23="OOTB",E23="Konfigurace",E23="Custom vývoj"),F23=""),G23="Ne"),0,IF(E23="OOTB",5,IF(E23="Konfigurace",3,IF(E23="Custom vývoj",1,0)))))</f>
        <v/>
      </c>
      <c r="I23" s="23" t="inlineStr">
        <is>
          <t>3rd party</t>
        </is>
      </c>
      <c r="J23" s="23" t="inlineStr"/>
      <c r="K23" s="18" t="inlineStr"/>
      <c r="L23" s="24">
        <f>IF(I23="","",IF(OR(AND(OR(I23="OOTB",I23="Konfigurace",I23="Custom vývoj"),J23=""),K23="Ne"),0,IF(I23="OOTB",5,IF(I23="Konfigurace",3,IF(I23="Custom vývoj",1,0)))))</f>
        <v/>
      </c>
      <c r="M23" s="23" t="inlineStr">
        <is>
          <t>OOTB</t>
        </is>
      </c>
      <c r="N23" s="23" t="inlineStr">
        <is>
          <t>6.2</t>
        </is>
      </c>
      <c r="O23" s="18" t="inlineStr">
        <is>
          <t>Ano</t>
        </is>
      </c>
      <c r="P23" s="24">
        <f>IF(M23="","",IF(OR(AND(OR(M23="OOTB",M23="Konfigurace",M23="Custom vývoj"),N23=""),O23="Ne"),0,IF(M23="OOTB",5,IF(M23="Konfigurace",3,IF(M23="Custom vývoj",1,0)))))</f>
        <v/>
      </c>
      <c r="Q23" s="17" t="inlineStr"/>
    </row>
    <row r="24">
      <c r="A24" s="16" t="inlineStr">
        <is>
          <t>SCR-005</t>
        </is>
      </c>
      <c r="B24" s="17" t="inlineStr">
        <is>
          <t>Fuzzy matching jmen s podporou transliterace (cyrilice, arabské písmo, čínské znaky), zaměnitelných pořadí jmen a diakritiky; prahy shody nastavitelné bez vývoje.</t>
        </is>
      </c>
      <c r="C24" s="22" t="inlineStr">
        <is>
          <t>Must</t>
        </is>
      </c>
      <c r="D24" s="22">
        <f>IF(C24="Must",3,IF(C24="Should",2,IF(C24="Could",1,0)))</f>
        <v/>
      </c>
      <c r="E24" s="23" t="inlineStr">
        <is>
          <t>OOTB</t>
        </is>
      </c>
      <c r="F24" s="23" t="inlineStr">
        <is>
          <t>6.2</t>
        </is>
      </c>
      <c r="G24" s="18" t="inlineStr">
        <is>
          <t>Ano</t>
        </is>
      </c>
      <c r="H24" s="24">
        <f>IF(E24="","",IF(OR(AND(OR(E24="OOTB",E24="Konfigurace",E24="Custom vývoj"),F24=""),G24="Ne"),0,IF(E24="OOTB",5,IF(E24="Konfigurace",3,IF(E24="Custom vývoj",1,0)))))</f>
        <v/>
      </c>
      <c r="I24" s="23" t="inlineStr">
        <is>
          <t>OOTB</t>
        </is>
      </c>
      <c r="J24" s="23" t="inlineStr">
        <is>
          <t>6.2</t>
        </is>
      </c>
      <c r="K24" s="18" t="inlineStr">
        <is>
          <t>Ne</t>
        </is>
      </c>
      <c r="L24" s="24">
        <f>IF(I24="","",IF(OR(AND(OR(I24="OOTB",I24="Konfigurace",I24="Custom vývoj"),J24=""),K24="Ne"),0,IF(I24="OOTB",5,IF(I24="Konfigurace",3,IF(I24="Custom vývoj",1,0)))))</f>
        <v/>
      </c>
      <c r="M24" s="23" t="inlineStr">
        <is>
          <t>OOTB</t>
        </is>
      </c>
      <c r="N24" s="23" t="inlineStr">
        <is>
          <t>6.2</t>
        </is>
      </c>
      <c r="O24" s="18" t="inlineStr">
        <is>
          <t>Ano</t>
        </is>
      </c>
      <c r="P24" s="24">
        <f>IF(M24="","",IF(OR(AND(OR(M24="OOTB",M24="Konfigurace",M24="Custom vývoj"),N24=""),O24="Ne"),0,IF(M24="OOTB",5,IF(M24="Konfigurace",3,IF(M24="Custom vývoj",1,0)))))</f>
        <v/>
      </c>
      <c r="Q24" s="17" t="inlineStr">
        <is>
          <t>Dodavatel B: V demu transliterace cyrilice nefungovala, shoda nalezena jen pro latinku.</t>
        </is>
      </c>
    </row>
    <row r="25">
      <c r="A25" s="16" t="inlineStr">
        <is>
          <t>SCR-006</t>
        </is>
      </c>
      <c r="B25" s="17" t="inlineStr">
        <is>
          <t>Seznam vyloučených shod (good-guy / whitelist) s povinným schválením čtyřma očima, zdůvodněním a datem expirace.</t>
        </is>
      </c>
      <c r="C25" s="22" t="inlineStr">
        <is>
          <t>Must</t>
        </is>
      </c>
      <c r="D25" s="22">
        <f>IF(C25="Must",3,IF(C25="Should",2,IF(C25="Could",1,0)))</f>
        <v/>
      </c>
      <c r="E25" s="23" t="inlineStr">
        <is>
          <t>Konfigurace</t>
        </is>
      </c>
      <c r="F25" s="23" t="inlineStr">
        <is>
          <t>6.2</t>
        </is>
      </c>
      <c r="G25" s="18" t="inlineStr">
        <is>
          <t>Ano</t>
        </is>
      </c>
      <c r="H25" s="24">
        <f>IF(E25="","",IF(OR(AND(OR(E25="OOTB",E25="Konfigurace",E25="Custom vývoj"),F25=""),G25="Ne"),0,IF(E25="OOTB",5,IF(E25="Konfigurace",3,IF(E25="Custom vývoj",1,0)))))</f>
        <v/>
      </c>
      <c r="I25" s="23" t="inlineStr">
        <is>
          <t>Konfigurace</t>
        </is>
      </c>
      <c r="J25" s="23" t="inlineStr">
        <is>
          <t>6.2</t>
        </is>
      </c>
      <c r="K25" s="18" t="inlineStr">
        <is>
          <t>Ano</t>
        </is>
      </c>
      <c r="L25" s="24">
        <f>IF(I25="","",IF(OR(AND(OR(I25="OOTB",I25="Konfigurace",I25="Custom vývoj"),J25=""),K25="Ne"),0,IF(I25="OOTB",5,IF(I25="Konfigurace",3,IF(I25="Custom vývoj",1,0)))))</f>
        <v/>
      </c>
      <c r="M25" s="23" t="inlineStr">
        <is>
          <t>OOTB</t>
        </is>
      </c>
      <c r="N25" s="23" t="inlineStr">
        <is>
          <t>6.2</t>
        </is>
      </c>
      <c r="O25" s="18" t="inlineStr">
        <is>
          <t>Ano</t>
        </is>
      </c>
      <c r="P25" s="24">
        <f>IF(M25="","",IF(OR(AND(OR(M25="OOTB",M25="Konfigurace",M25="Custom vývoj"),N25=""),O25="Ne"),0,IF(M25="OOTB",5,IF(M25="Konfigurace",3,IF(M25="Custom vývoj",1,0)))))</f>
        <v/>
      </c>
      <c r="Q25" s="17" t="inlineStr"/>
    </row>
    <row r="26">
      <c r="A26" s="16" t="inlineStr">
        <is>
          <t>SCR-007</t>
        </is>
      </c>
      <c r="B26" s="17" t="inlineStr">
        <is>
          <t>Online screening odchozích a příchozích zahraničních plateb (SWIFT, SEPA) vůči sankčním seznamům před jejich zpracováním, s možností pozastavit platbu.</t>
        </is>
      </c>
      <c r="C26" s="22" t="inlineStr">
        <is>
          <t>Must</t>
        </is>
      </c>
      <c r="D26" s="22">
        <f>IF(C26="Must",3,IF(C26="Should",2,IF(C26="Could",1,0)))</f>
        <v/>
      </c>
      <c r="E26" s="23" t="inlineStr">
        <is>
          <t>OOTB</t>
        </is>
      </c>
      <c r="F26" s="23" t="inlineStr">
        <is>
          <t>5.4</t>
        </is>
      </c>
      <c r="G26" s="18" t="inlineStr">
        <is>
          <t>Ano</t>
        </is>
      </c>
      <c r="H26" s="24">
        <f>IF(E26="","",IF(OR(AND(OR(E26="OOTB",E26="Konfigurace",E26="Custom vývoj"),F26=""),G26="Ne"),0,IF(E26="OOTB",5,IF(E26="Konfigurace",3,IF(E26="Custom vývoj",1,0)))))</f>
        <v/>
      </c>
      <c r="I26" s="23" t="inlineStr">
        <is>
          <t>OOTB</t>
        </is>
      </c>
      <c r="J26" s="23" t="inlineStr">
        <is>
          <t>5.4</t>
        </is>
      </c>
      <c r="K26" s="18" t="inlineStr">
        <is>
          <t>Ano</t>
        </is>
      </c>
      <c r="L26" s="24">
        <f>IF(I26="","",IF(OR(AND(OR(I26="OOTB",I26="Konfigurace",I26="Custom vývoj"),J26=""),K26="Ne"),0,IF(I26="OOTB",5,IF(I26="Konfigurace",3,IF(I26="Custom vývoj",1,0)))))</f>
        <v/>
      </c>
      <c r="M26" s="23" t="inlineStr">
        <is>
          <t>OOTB</t>
        </is>
      </c>
      <c r="N26" s="23" t="inlineStr">
        <is>
          <t>5.4</t>
        </is>
      </c>
      <c r="O26" s="18" t="inlineStr">
        <is>
          <t>Ano</t>
        </is>
      </c>
      <c r="P26" s="24">
        <f>IF(M26="","",IF(OR(AND(OR(M26="OOTB",M26="Konfigurace",M26="Custom vývoj"),N26=""),O26="Ne"),0,IF(M26="OOTB",5,IF(M26="Konfigurace",3,IF(M26="Custom vývoj",1,0)))))</f>
        <v/>
      </c>
      <c r="Q26" s="17" t="inlineStr"/>
    </row>
    <row r="27">
      <c r="A27" s="16" t="inlineStr">
        <is>
          <t>SCR-008</t>
        </is>
      </c>
      <c r="B27" s="17" t="inlineStr">
        <is>
          <t>Měření míry falešně pozitivních shod a možnost otestovat změnu nastavení screeningu nad historickými daty (what-if) před nasazením.</t>
        </is>
      </c>
      <c r="C27" s="22" t="inlineStr">
        <is>
          <t>Should</t>
        </is>
      </c>
      <c r="D27" s="22">
        <f>IF(C27="Must",3,IF(C27="Should",2,IF(C27="Could",1,0)))</f>
        <v/>
      </c>
      <c r="E27" s="23" t="inlineStr">
        <is>
          <t>Konfigurace</t>
        </is>
      </c>
      <c r="F27" s="23" t="inlineStr">
        <is>
          <t>6.2</t>
        </is>
      </c>
      <c r="G27" s="18" t="inlineStr">
        <is>
          <t>Ano</t>
        </is>
      </c>
      <c r="H27" s="24">
        <f>IF(E27="","",IF(OR(AND(OR(E27="OOTB",E27="Konfigurace",E27="Custom vývoj"),F27=""),G27="Ne"),0,IF(E27="OOTB",5,IF(E27="Konfigurace",3,IF(E27="Custom vývoj",1,0)))))</f>
        <v/>
      </c>
      <c r="I27" s="23" t="inlineStr">
        <is>
          <t>OOTB</t>
        </is>
      </c>
      <c r="J27" s="23" t="inlineStr">
        <is>
          <t>6.2</t>
        </is>
      </c>
      <c r="K27" s="18" t="inlineStr">
        <is>
          <t>Ano</t>
        </is>
      </c>
      <c r="L27" s="24">
        <f>IF(I27="","",IF(OR(AND(OR(I27="OOTB",I27="Konfigurace",I27="Custom vývoj"),J27=""),K27="Ne"),0,IF(I27="OOTB",5,IF(I27="Konfigurace",3,IF(I27="Custom vývoj",1,0)))))</f>
        <v/>
      </c>
      <c r="M27" s="23" t="inlineStr">
        <is>
          <t>OOTB</t>
        </is>
      </c>
      <c r="N27" s="23" t="inlineStr">
        <is>
          <t>6.2</t>
        </is>
      </c>
      <c r="O27" s="18" t="inlineStr">
        <is>
          <t>Ano</t>
        </is>
      </c>
      <c r="P27" s="24">
        <f>IF(M27="","",IF(OR(AND(OR(M27="OOTB",M27="Konfigurace",M27="Custom vývoj"),N27=""),O27="Ne"),0,IF(M27="OOTB",5,IF(M27="Konfigurace",3,IF(M27="Custom vývoj",1,0)))))</f>
        <v/>
      </c>
      <c r="Q27" s="17" t="inlineStr"/>
    </row>
    <row r="28">
      <c r="A28" s="16" t="inlineStr">
        <is>
          <t>SCR-009</t>
        </is>
      </c>
      <c r="B28" s="17" t="inlineStr">
        <is>
          <t>Řešení podporuje alespoň dva komerční zdroje dat PEP/adverse media; náklady na datové zdroje jsou uvedeny v cenové nabídce.</t>
        </is>
      </c>
      <c r="C28" s="22" t="inlineStr">
        <is>
          <t>Should</t>
        </is>
      </c>
      <c r="D28" s="22">
        <f>IF(C28="Must",3,IF(C28="Should",2,IF(C28="Could",1,0)))</f>
        <v/>
      </c>
      <c r="E28" s="23" t="inlineStr">
        <is>
          <t>OOTB</t>
        </is>
      </c>
      <c r="F28" s="23" t="inlineStr">
        <is>
          <t>3.3</t>
        </is>
      </c>
      <c r="G28" s="18" t="inlineStr">
        <is>
          <t>Ano</t>
        </is>
      </c>
      <c r="H28" s="24">
        <f>IF(E28="","",IF(OR(AND(OR(E28="OOTB",E28="Konfigurace",E28="Custom vývoj"),F28=""),G28="Ne"),0,IF(E28="OOTB",5,IF(E28="Konfigurace",3,IF(E28="Custom vývoj",1,0)))))</f>
        <v/>
      </c>
      <c r="I28" s="23" t="inlineStr">
        <is>
          <t>3rd party</t>
        </is>
      </c>
      <c r="J28" s="23" t="inlineStr"/>
      <c r="K28" s="18" t="inlineStr"/>
      <c r="L28" s="24">
        <f>IF(I28="","",IF(OR(AND(OR(I28="OOTB",I28="Konfigurace",I28="Custom vývoj"),J28=""),K28="Ne"),0,IF(I28="OOTB",5,IF(I28="Konfigurace",3,IF(I28="Custom vývoj",1,0)))))</f>
        <v/>
      </c>
      <c r="M28" s="23" t="inlineStr">
        <is>
          <t>OOTB</t>
        </is>
      </c>
      <c r="N28" s="23" t="inlineStr">
        <is>
          <t>3.3</t>
        </is>
      </c>
      <c r="O28" s="18" t="inlineStr">
        <is>
          <t>Ano</t>
        </is>
      </c>
      <c r="P28" s="24">
        <f>IF(M28="","",IF(OR(AND(OR(M28="OOTB",M28="Konfigurace",M28="Custom vývoj"),N28=""),O28="Ne"),0,IF(M28="OOTB",5,IF(M28="Konfigurace",3,IF(M28="Custom vývoj",1,0)))))</f>
        <v/>
      </c>
      <c r="Q28" s="17" t="inlineStr"/>
    </row>
    <row r="29">
      <c r="A29" s="16" t="inlineStr">
        <is>
          <t>SCR-010</t>
        </is>
      </c>
      <c r="B29" s="17" t="inlineStr">
        <is>
          <t>Uchování historie screeningu (verze seznamu, výsledek, rozhodnutí, uživatel) po dobu 10 let od ukončení obchodního vztahu.</t>
        </is>
      </c>
      <c r="C29" s="22" t="inlineStr">
        <is>
          <t>Must</t>
        </is>
      </c>
      <c r="D29" s="22">
        <f>IF(C29="Must",3,IF(C29="Should",2,IF(C29="Could",1,0)))</f>
        <v/>
      </c>
      <c r="E29" s="23" t="inlineStr">
        <is>
          <t>Konfigurace</t>
        </is>
      </c>
      <c r="F29" s="23" t="inlineStr">
        <is>
          <t>9.2</t>
        </is>
      </c>
      <c r="G29" s="18" t="inlineStr">
        <is>
          <t>Ano</t>
        </is>
      </c>
      <c r="H29" s="24">
        <f>IF(E29="","",IF(OR(AND(OR(E29="OOTB",E29="Konfigurace",E29="Custom vývoj"),F29=""),G29="Ne"),0,IF(E29="OOTB",5,IF(E29="Konfigurace",3,IF(E29="Custom vývoj",1,0)))))</f>
        <v/>
      </c>
      <c r="I29" s="23" t="inlineStr">
        <is>
          <t>OOTB</t>
        </is>
      </c>
      <c r="J29" s="23" t="inlineStr">
        <is>
          <t>9.2</t>
        </is>
      </c>
      <c r="K29" s="18" t="inlineStr">
        <is>
          <t>Ano</t>
        </is>
      </c>
      <c r="L29" s="24">
        <f>IF(I29="","",IF(OR(AND(OR(I29="OOTB",I29="Konfigurace",I29="Custom vývoj"),J29=""),K29="Ne"),0,IF(I29="OOTB",5,IF(I29="Konfigurace",3,IF(I29="Custom vývoj",1,0)))))</f>
        <v/>
      </c>
      <c r="M29" s="23" t="inlineStr">
        <is>
          <t>OOTB</t>
        </is>
      </c>
      <c r="N29" s="23" t="inlineStr">
        <is>
          <t>9.2</t>
        </is>
      </c>
      <c r="O29" s="18" t="inlineStr">
        <is>
          <t>Ano</t>
        </is>
      </c>
      <c r="P29" s="24">
        <f>IF(M29="","",IF(OR(AND(OR(M29="OOTB",M29="Konfigurace",M29="Custom vývoj"),N29=""),O29="Ne"),0,IF(M29="OOTB",5,IF(M29="Konfigurace",3,IF(M29="Custom vývoj",1,0)))))</f>
        <v/>
      </c>
      <c r="Q29" s="17" t="inlineStr"/>
    </row>
    <row r="30">
      <c r="A30" s="16" t="inlineStr">
        <is>
          <t>TM-001</t>
        </is>
      </c>
      <c r="B30" s="17" t="inlineStr">
        <is>
          <t>Monitoring transakcí pomocí konfigurovatelných scénářů; dodávaná knihovna obsahuje min. 40 typologií relevantních pro privátní bankovnictví (strukturování, rychlý průtok, rizikové země, nesoulad s profilem).</t>
        </is>
      </c>
      <c r="C30" s="22" t="inlineStr">
        <is>
          <t>Must</t>
        </is>
      </c>
      <c r="D30" s="22">
        <f>IF(C30="Must",3,IF(C30="Should",2,IF(C30="Could",1,0)))</f>
        <v/>
      </c>
      <c r="E30" s="23" t="inlineStr">
        <is>
          <t>Konfigurace</t>
        </is>
      </c>
      <c r="F30" s="23" t="inlineStr">
        <is>
          <t>6.3</t>
        </is>
      </c>
      <c r="G30" s="18" t="inlineStr">
        <is>
          <t>Ano</t>
        </is>
      </c>
      <c r="H30" s="24">
        <f>IF(E30="","",IF(OR(AND(OR(E30="OOTB",E30="Konfigurace",E30="Custom vývoj"),F30=""),G30="Ne"),0,IF(E30="OOTB",5,IF(E30="Konfigurace",3,IF(E30="Custom vývoj",1,0)))))</f>
        <v/>
      </c>
      <c r="I30" s="23" t="inlineStr">
        <is>
          <t>OOTB</t>
        </is>
      </c>
      <c r="J30" s="23" t="inlineStr">
        <is>
          <t>6.3</t>
        </is>
      </c>
      <c r="K30" s="18" t="inlineStr">
        <is>
          <t>Ano</t>
        </is>
      </c>
      <c r="L30" s="24">
        <f>IF(I30="","",IF(OR(AND(OR(I30="OOTB",I30="Konfigurace",I30="Custom vývoj"),J30=""),K30="Ne"),0,IF(I30="OOTB",5,IF(I30="Konfigurace",3,IF(I30="Custom vývoj",1,0)))))</f>
        <v/>
      </c>
      <c r="M30" s="23" t="inlineStr">
        <is>
          <t>OOTB</t>
        </is>
      </c>
      <c r="N30" s="23" t="inlineStr">
        <is>
          <t>6.3</t>
        </is>
      </c>
      <c r="O30" s="18" t="inlineStr">
        <is>
          <t>Ano</t>
        </is>
      </c>
      <c r="P30" s="24">
        <f>IF(M30="","",IF(OR(AND(OR(M30="OOTB",M30="Konfigurace",M30="Custom vývoj"),N30=""),O30="Ne"),0,IF(M30="OOTB",5,IF(M30="Konfigurace",3,IF(M30="Custom vývoj",1,0)))))</f>
        <v/>
      </c>
      <c r="Q30" s="17" t="inlineStr"/>
    </row>
    <row r="31">
      <c r="A31" s="16" t="inlineStr">
        <is>
          <t>TM-002</t>
        </is>
      </c>
      <c r="B31" s="17" t="inlineStr">
        <is>
          <t>Compliance vytváří a mění scénáře v UI bez vývoje dodavatele; změny se verzují a schvalují čtyřma očima.</t>
        </is>
      </c>
      <c r="C31" s="22" t="inlineStr">
        <is>
          <t>Must</t>
        </is>
      </c>
      <c r="D31" s="22">
        <f>IF(C31="Must",3,IF(C31="Should",2,IF(C31="Could",1,0)))</f>
        <v/>
      </c>
      <c r="E31" s="23" t="inlineStr">
        <is>
          <t>Konfigurace</t>
        </is>
      </c>
      <c r="F31" s="23" t="inlineStr">
        <is>
          <t>6.3</t>
        </is>
      </c>
      <c r="G31" s="18" t="inlineStr">
        <is>
          <t>Ano</t>
        </is>
      </c>
      <c r="H31" s="24">
        <f>IF(E31="","",IF(OR(AND(OR(E31="OOTB",E31="Konfigurace",E31="Custom vývoj"),F31=""),G31="Ne"),0,IF(E31="OOTB",5,IF(E31="Konfigurace",3,IF(E31="Custom vývoj",1,0)))))</f>
        <v/>
      </c>
      <c r="I31" s="23" t="inlineStr">
        <is>
          <t>Custom vývoj</t>
        </is>
      </c>
      <c r="J31" s="23" t="inlineStr"/>
      <c r="K31" s="18" t="inlineStr">
        <is>
          <t>Ano</t>
        </is>
      </c>
      <c r="L31" s="24">
        <f>IF(I31="","",IF(OR(AND(OR(I31="OOTB",I31="Konfigurace",I31="Custom vývoj"),J31=""),K31="Ne"),0,IF(I31="OOTB",5,IF(I31="Konfigurace",3,IF(I31="Custom vývoj",1,0)))))</f>
        <v/>
      </c>
      <c r="M31" s="23" t="inlineStr">
        <is>
          <t>OOTB</t>
        </is>
      </c>
      <c r="N31" s="23" t="inlineStr">
        <is>
          <t>6.3</t>
        </is>
      </c>
      <c r="O31" s="18" t="inlineStr">
        <is>
          <t>Ano</t>
        </is>
      </c>
      <c r="P31" s="24">
        <f>IF(M31="","",IF(OR(AND(OR(M31="OOTB",M31="Konfigurace",M31="Custom vývoj"),N31=""),O31="Ne"),0,IF(M31="OOTB",5,IF(M31="Konfigurace",3,IF(M31="Custom vývoj",1,0)))))</f>
        <v/>
      </c>
      <c r="Q31" s="17" t="inlineStr">
        <is>
          <t>Dodavatel B: Chybí odkaz do FS – dle pravidla křížové kontroly nesplněno.</t>
        </is>
      </c>
    </row>
    <row r="32">
      <c r="A32" s="16" t="inlineStr">
        <is>
          <t>TM-003</t>
        </is>
      </c>
      <c r="B32" s="17" t="inlineStr">
        <is>
          <t>Testování (backtesting) nového nebo upraveného scénáře nad historickými daty před nasazením.</t>
        </is>
      </c>
      <c r="C32" s="22" t="inlineStr">
        <is>
          <t>Should</t>
        </is>
      </c>
      <c r="D32" s="22">
        <f>IF(C32="Must",3,IF(C32="Should",2,IF(C32="Could",1,0)))</f>
        <v/>
      </c>
      <c r="E32" s="23" t="inlineStr">
        <is>
          <t>OOTB</t>
        </is>
      </c>
      <c r="F32" s="23" t="inlineStr">
        <is>
          <t>6.3</t>
        </is>
      </c>
      <c r="G32" s="18" t="inlineStr">
        <is>
          <t>Ano</t>
        </is>
      </c>
      <c r="H32" s="24">
        <f>IF(E32="","",IF(OR(AND(OR(E32="OOTB",E32="Konfigurace",E32="Custom vývoj"),F32=""),G32="Ne"),0,IF(E32="OOTB",5,IF(E32="Konfigurace",3,IF(E32="Custom vývoj",1,0)))))</f>
        <v/>
      </c>
      <c r="I32" s="23" t="inlineStr">
        <is>
          <t>Konfigurace</t>
        </is>
      </c>
      <c r="J32" s="23" t="inlineStr">
        <is>
          <t>6.3</t>
        </is>
      </c>
      <c r="K32" s="18" t="inlineStr">
        <is>
          <t>Ano</t>
        </is>
      </c>
      <c r="L32" s="24">
        <f>IF(I32="","",IF(OR(AND(OR(I32="OOTB",I32="Konfigurace",I32="Custom vývoj"),J32=""),K32="Ne"),0,IF(I32="OOTB",5,IF(I32="Konfigurace",3,IF(I32="Custom vývoj",1,0)))))</f>
        <v/>
      </c>
      <c r="M32" s="23" t="inlineStr">
        <is>
          <t>OOTB</t>
        </is>
      </c>
      <c r="N32" s="23" t="inlineStr">
        <is>
          <t>6.3</t>
        </is>
      </c>
      <c r="O32" s="18" t="inlineStr">
        <is>
          <t>Ano</t>
        </is>
      </c>
      <c r="P32" s="24">
        <f>IF(M32="","",IF(OR(AND(OR(M32="OOTB",M32="Konfigurace",M32="Custom vývoj"),N32=""),O32="Ne"),0,IF(M32="OOTB",5,IF(M32="Konfigurace",3,IF(M32="Custom vývoj",1,0)))))</f>
        <v/>
      </c>
      <c r="Q32" s="17" t="inlineStr"/>
    </row>
    <row r="33">
      <c r="A33" s="16" t="inlineStr">
        <is>
          <t>TM-004</t>
        </is>
      </c>
      <c r="B33" s="17" t="inlineStr">
        <is>
          <t>Kontrola úplnosti informací o plátci a příjemci u bezhotovostních převodů a hlášení neúplných zpráv.</t>
        </is>
      </c>
      <c r="C33" s="22" t="inlineStr">
        <is>
          <t>Should</t>
        </is>
      </c>
      <c r="D33" s="22">
        <f>IF(C33="Must",3,IF(C33="Should",2,IF(C33="Could",1,0)))</f>
        <v/>
      </c>
      <c r="E33" s="23" t="inlineStr">
        <is>
          <t>Konfigurace</t>
        </is>
      </c>
      <c r="F33" s="23" t="inlineStr">
        <is>
          <t>6.3</t>
        </is>
      </c>
      <c r="G33" s="18" t="inlineStr">
        <is>
          <t>Ano</t>
        </is>
      </c>
      <c r="H33" s="24">
        <f>IF(E33="","",IF(OR(AND(OR(E33="OOTB",E33="Konfigurace",E33="Custom vývoj"),F33=""),G33="Ne"),0,IF(E33="OOTB",5,IF(E33="Konfigurace",3,IF(E33="Custom vývoj",1,0)))))</f>
        <v/>
      </c>
      <c r="I33" s="23" t="inlineStr">
        <is>
          <t>Konfigurace</t>
        </is>
      </c>
      <c r="J33" s="23" t="inlineStr">
        <is>
          <t>6.3</t>
        </is>
      </c>
      <c r="K33" s="18" t="inlineStr">
        <is>
          <t>Ano</t>
        </is>
      </c>
      <c r="L33" s="24">
        <f>IF(I33="","",IF(OR(AND(OR(I33="OOTB",I33="Konfigurace",I33="Custom vývoj"),J33=""),K33="Ne"),0,IF(I33="OOTB",5,IF(I33="Konfigurace",3,IF(I33="Custom vývoj",1,0)))))</f>
        <v/>
      </c>
      <c r="M33" s="23" t="inlineStr">
        <is>
          <t>OOTB</t>
        </is>
      </c>
      <c r="N33" s="23" t="inlineStr">
        <is>
          <t>6.3</t>
        </is>
      </c>
      <c r="O33" s="18" t="inlineStr">
        <is>
          <t>Ano</t>
        </is>
      </c>
      <c r="P33" s="24">
        <f>IF(M33="","",IF(OR(AND(OR(M33="OOTB",M33="Konfigurace",M33="Custom vývoj"),N33=""),O33="Ne"),0,IF(M33="OOTB",5,IF(M33="Konfigurace",3,IF(M33="Custom vývoj",1,0)))))</f>
        <v/>
      </c>
      <c r="Q33" s="17" t="inlineStr"/>
    </row>
    <row r="34">
      <c r="A34" s="16" t="inlineStr">
        <is>
          <t>TM-005</t>
        </is>
      </c>
      <c r="B34" s="17" t="inlineStr">
        <is>
          <t>Profil očekávaného chování klienta (obrat, země, typy transakcí dle KYC) a alert při významné odchylce skutečnosti od profilu.</t>
        </is>
      </c>
      <c r="C34" s="22" t="inlineStr">
        <is>
          <t>Must</t>
        </is>
      </c>
      <c r="D34" s="22">
        <f>IF(C34="Must",3,IF(C34="Should",2,IF(C34="Could",1,0)))</f>
        <v/>
      </c>
      <c r="E34" s="23" t="inlineStr">
        <is>
          <t>Konfigurace</t>
        </is>
      </c>
      <c r="F34" s="23" t="inlineStr">
        <is>
          <t>6.3</t>
        </is>
      </c>
      <c r="G34" s="18" t="inlineStr">
        <is>
          <t>Ano</t>
        </is>
      </c>
      <c r="H34" s="24">
        <f>IF(E34="","",IF(OR(AND(OR(E34="OOTB",E34="Konfigurace",E34="Custom vývoj"),F34=""),G34="Ne"),0,IF(E34="OOTB",5,IF(E34="Konfigurace",3,IF(E34="Custom vývoj",1,0)))))</f>
        <v/>
      </c>
      <c r="I34" s="23" t="inlineStr">
        <is>
          <t>Konfigurace</t>
        </is>
      </c>
      <c r="J34" s="23" t="inlineStr">
        <is>
          <t>6.3</t>
        </is>
      </c>
      <c r="K34" s="18" t="inlineStr">
        <is>
          <t>Ano</t>
        </is>
      </c>
      <c r="L34" s="24">
        <f>IF(I34="","",IF(OR(AND(OR(I34="OOTB",I34="Konfigurace",I34="Custom vývoj"),J34=""),K34="Ne"),0,IF(I34="OOTB",5,IF(I34="Konfigurace",3,IF(I34="Custom vývoj",1,0)))))</f>
        <v/>
      </c>
      <c r="M34" s="23" t="inlineStr">
        <is>
          <t>OOTB</t>
        </is>
      </c>
      <c r="N34" s="23" t="inlineStr">
        <is>
          <t>6.3</t>
        </is>
      </c>
      <c r="O34" s="18" t="inlineStr">
        <is>
          <t>Ano</t>
        </is>
      </c>
      <c r="P34" s="24">
        <f>IF(M34="","",IF(OR(AND(OR(M34="OOTB",M34="Konfigurace",M34="Custom vývoj"),N34=""),O34="Ne"),0,IF(M34="OOTB",5,IF(M34="Konfigurace",3,IF(M34="Custom vývoj",1,0)))))</f>
        <v/>
      </c>
      <c r="Q34" s="17" t="inlineStr"/>
    </row>
    <row r="35">
      <c r="A35" s="16" t="inlineStr">
        <is>
          <t>TM-006</t>
        </is>
      </c>
      <c r="B35" s="17" t="inlineStr">
        <is>
          <t>Podpora odkladu splnění příkazu klienta: pozastavení odchozí platby na základě alertu a evidence lhůt odkladu.</t>
        </is>
      </c>
      <c r="C35" s="22" t="inlineStr">
        <is>
          <t>Must</t>
        </is>
      </c>
      <c r="D35" s="22">
        <f>IF(C35="Must",3,IF(C35="Should",2,IF(C35="Could",1,0)))</f>
        <v/>
      </c>
      <c r="E35" s="23" t="inlineStr">
        <is>
          <t>OOTB</t>
        </is>
      </c>
      <c r="F35" s="23" t="inlineStr">
        <is>
          <t>5.4</t>
        </is>
      </c>
      <c r="G35" s="18" t="inlineStr">
        <is>
          <t>Ano</t>
        </is>
      </c>
      <c r="H35" s="24">
        <f>IF(E35="","",IF(OR(AND(OR(E35="OOTB",E35="Konfigurace",E35="Custom vývoj"),F35=""),G35="Ne"),0,IF(E35="OOTB",5,IF(E35="Konfigurace",3,IF(E35="Custom vývoj",1,0)))))</f>
        <v/>
      </c>
      <c r="I35" s="23" t="inlineStr">
        <is>
          <t>OOTB</t>
        </is>
      </c>
      <c r="J35" s="23" t="inlineStr">
        <is>
          <t>5.4</t>
        </is>
      </c>
      <c r="K35" s="18" t="inlineStr">
        <is>
          <t>Ano</t>
        </is>
      </c>
      <c r="L35" s="24">
        <f>IF(I35="","",IF(OR(AND(OR(I35="OOTB",I35="Konfigurace",I35="Custom vývoj"),J35=""),K35="Ne"),0,IF(I35="OOTB",5,IF(I35="Konfigurace",3,IF(I35="Custom vývoj",1,0)))))</f>
        <v/>
      </c>
      <c r="M35" s="23" t="inlineStr">
        <is>
          <t>OOTB</t>
        </is>
      </c>
      <c r="N35" s="23" t="inlineStr">
        <is>
          <t>5.4</t>
        </is>
      </c>
      <c r="O35" s="18" t="inlineStr">
        <is>
          <t>Ano</t>
        </is>
      </c>
      <c r="P35" s="24">
        <f>IF(M35="","",IF(OR(AND(OR(M35="OOTB",M35="Konfigurace",M35="Custom vývoj"),N35=""),O35="Ne"),0,IF(M35="OOTB",5,IF(M35="Konfigurace",3,IF(M35="Custom vývoj",1,0)))))</f>
        <v/>
      </c>
      <c r="Q35" s="17" t="inlineStr"/>
    </row>
    <row r="36">
      <c r="A36" s="16" t="inlineStr">
        <is>
          <t>TM-007</t>
        </is>
      </c>
      <c r="B36" s="17" t="inlineStr">
        <is>
          <t>Detekce anomálií pomocí strojového učení jako doplněk scénářů, s vysvětlením důvodu alertu srozumitelným pro analytika.</t>
        </is>
      </c>
      <c r="C36" s="22" t="inlineStr">
        <is>
          <t>Could</t>
        </is>
      </c>
      <c r="D36" s="22">
        <f>IF(C36="Must",3,IF(C36="Should",2,IF(C36="Could",1,0)))</f>
        <v/>
      </c>
      <c r="E36" s="23" t="inlineStr">
        <is>
          <t>Custom vývoj</t>
        </is>
      </c>
      <c r="F36" s="23" t="inlineStr">
        <is>
          <t>6.6</t>
        </is>
      </c>
      <c r="G36" s="18" t="inlineStr">
        <is>
          <t>Ano</t>
        </is>
      </c>
      <c r="H36" s="24">
        <f>IF(E36="","",IF(OR(AND(OR(E36="OOTB",E36="Konfigurace",E36="Custom vývoj"),F36=""),G36="Ne"),0,IF(E36="OOTB",5,IF(E36="Konfigurace",3,IF(E36="Custom vývoj",1,0)))))</f>
        <v/>
      </c>
      <c r="I36" s="23" t="inlineStr">
        <is>
          <t>Konfigurace</t>
        </is>
      </c>
      <c r="J36" s="23" t="inlineStr">
        <is>
          <t>6.3</t>
        </is>
      </c>
      <c r="K36" s="18" t="inlineStr">
        <is>
          <t>Ano</t>
        </is>
      </c>
      <c r="L36" s="24">
        <f>IF(I36="","",IF(OR(AND(OR(I36="OOTB",I36="Konfigurace",I36="Custom vývoj"),J36=""),K36="Ne"),0,IF(I36="OOTB",5,IF(I36="Konfigurace",3,IF(I36="Custom vývoj",1,0)))))</f>
        <v/>
      </c>
      <c r="M36" s="23" t="inlineStr">
        <is>
          <t>Custom vývoj</t>
        </is>
      </c>
      <c r="N36" s="23" t="inlineStr">
        <is>
          <t>6.6</t>
        </is>
      </c>
      <c r="O36" s="18" t="inlineStr">
        <is>
          <t>Ano</t>
        </is>
      </c>
      <c r="P36" s="24">
        <f>IF(M36="","",IF(OR(AND(OR(M36="OOTB",M36="Konfigurace",M36="Custom vývoj"),N36=""),O36="Ne"),0,IF(M36="OOTB",5,IF(M36="Konfigurace",3,IF(M36="Custom vývoj",1,0)))))</f>
        <v/>
      </c>
      <c r="Q36" s="17" t="inlineStr"/>
    </row>
    <row r="37">
      <c r="A37" s="16" t="inlineStr">
        <is>
          <t>TM-008</t>
        </is>
      </c>
      <c r="B37" s="17" t="inlineStr">
        <is>
          <t>Při spuštění systém zpracuje transakční historii za 24 měsíců pro výpočet profilů a baseline scénářů.</t>
        </is>
      </c>
      <c r="C37" s="22" t="inlineStr">
        <is>
          <t>Should</t>
        </is>
      </c>
      <c r="D37" s="22">
        <f>IF(C37="Must",3,IF(C37="Should",2,IF(C37="Could",1,0)))</f>
        <v/>
      </c>
      <c r="E37" s="23" t="inlineStr">
        <is>
          <t>OOTB</t>
        </is>
      </c>
      <c r="F37" s="23" t="inlineStr">
        <is>
          <t>7.2</t>
        </is>
      </c>
      <c r="G37" s="18" t="inlineStr">
        <is>
          <t>Ano</t>
        </is>
      </c>
      <c r="H37" s="24">
        <f>IF(E37="","",IF(OR(AND(OR(E37="OOTB",E37="Konfigurace",E37="Custom vývoj"),F37=""),G37="Ne"),0,IF(E37="OOTB",5,IF(E37="Konfigurace",3,IF(E37="Custom vývoj",1,0)))))</f>
        <v/>
      </c>
      <c r="I37" s="23" t="inlineStr">
        <is>
          <t>OOTB</t>
        </is>
      </c>
      <c r="J37" s="23" t="inlineStr">
        <is>
          <t>7.2</t>
        </is>
      </c>
      <c r="K37" s="18" t="inlineStr">
        <is>
          <t>Ano</t>
        </is>
      </c>
      <c r="L37" s="24">
        <f>IF(I37="","",IF(OR(AND(OR(I37="OOTB",I37="Konfigurace",I37="Custom vývoj"),J37=""),K37="Ne"),0,IF(I37="OOTB",5,IF(I37="Konfigurace",3,IF(I37="Custom vývoj",1,0)))))</f>
        <v/>
      </c>
      <c r="M37" s="23" t="inlineStr">
        <is>
          <t>OOTB</t>
        </is>
      </c>
      <c r="N37" s="23" t="inlineStr">
        <is>
          <t>7.2</t>
        </is>
      </c>
      <c r="O37" s="18" t="inlineStr">
        <is>
          <t>Ano</t>
        </is>
      </c>
      <c r="P37" s="24">
        <f>IF(M37="","",IF(OR(AND(OR(M37="OOTB",M37="Konfigurace",M37="Custom vývoj"),N37=""),O37="Ne"),0,IF(M37="OOTB",5,IF(M37="Konfigurace",3,IF(M37="Custom vývoj",1,0)))))</f>
        <v/>
      </c>
      <c r="Q37" s="17" t="inlineStr"/>
    </row>
    <row r="38">
      <c r="A38" s="16" t="inlineStr">
        <is>
          <t>CAS-001</t>
        </is>
      </c>
      <c r="B38" s="17" t="inlineStr">
        <is>
          <t>Jednotná správa případů pro alerty ze screeningu, monitoringu transakcí a KYC, s prioritizací, přidělováním a sledováním lhůt zpracování.</t>
        </is>
      </c>
      <c r="C38" s="22" t="inlineStr">
        <is>
          <t>Must</t>
        </is>
      </c>
      <c r="D38" s="22">
        <f>IF(C38="Must",3,IF(C38="Should",2,IF(C38="Could",1,0)))</f>
        <v/>
      </c>
      <c r="E38" s="23" t="inlineStr">
        <is>
          <t>Konfigurace</t>
        </is>
      </c>
      <c r="F38" s="23" t="inlineStr">
        <is>
          <t>6.4</t>
        </is>
      </c>
      <c r="G38" s="18" t="inlineStr">
        <is>
          <t>Ano</t>
        </is>
      </c>
      <c r="H38" s="24">
        <f>IF(E38="","",IF(OR(AND(OR(E38="OOTB",E38="Konfigurace",E38="Custom vývoj"),F38=""),G38="Ne"),0,IF(E38="OOTB",5,IF(E38="Konfigurace",3,IF(E38="Custom vývoj",1,0)))))</f>
        <v/>
      </c>
      <c r="I38" s="23" t="inlineStr">
        <is>
          <t>OOTB</t>
        </is>
      </c>
      <c r="J38" s="23" t="inlineStr">
        <is>
          <t>6.4</t>
        </is>
      </c>
      <c r="K38" s="18" t="inlineStr">
        <is>
          <t>Ano</t>
        </is>
      </c>
      <c r="L38" s="24">
        <f>IF(I38="","",IF(OR(AND(OR(I38="OOTB",I38="Konfigurace",I38="Custom vývoj"),J38=""),K38="Ne"),0,IF(I38="OOTB",5,IF(I38="Konfigurace",3,IF(I38="Custom vývoj",1,0)))))</f>
        <v/>
      </c>
      <c r="M38" s="23" t="inlineStr">
        <is>
          <t>Konfigurace</t>
        </is>
      </c>
      <c r="N38" s="23" t="inlineStr">
        <is>
          <t>6.4</t>
        </is>
      </c>
      <c r="O38" s="18" t="inlineStr">
        <is>
          <t>Ano</t>
        </is>
      </c>
      <c r="P38" s="24">
        <f>IF(M38="","",IF(OR(AND(OR(M38="OOTB",M38="Konfigurace",M38="Custom vývoj"),N38=""),O38="Ne"),0,IF(M38="OOTB",5,IF(M38="Konfigurace",3,IF(M38="Custom vývoj",1,0)))))</f>
        <v/>
      </c>
      <c r="Q38" s="17" t="inlineStr"/>
    </row>
    <row r="39">
      <c r="A39" s="16" t="inlineStr">
        <is>
          <t>CAS-002</t>
        </is>
      </c>
      <c r="B39" s="17" t="inlineStr">
        <is>
          <t>Rozhodnutí o přijetí, zamítnutí, blokaci nebo ukončení vztahu probíhá na principu čtyř očí; systém nedovolí, aby rozhodl uživatel, který případ připravil.</t>
        </is>
      </c>
      <c r="C39" s="22" t="inlineStr">
        <is>
          <t>Must</t>
        </is>
      </c>
      <c r="D39" s="22">
        <f>IF(C39="Must",3,IF(C39="Should",2,IF(C39="Could",1,0)))</f>
        <v/>
      </c>
      <c r="E39" s="23" t="inlineStr">
        <is>
          <t>OOTB</t>
        </is>
      </c>
      <c r="F39" s="23" t="inlineStr">
        <is>
          <t>6.4</t>
        </is>
      </c>
      <c r="G39" s="18" t="inlineStr">
        <is>
          <t>Ano</t>
        </is>
      </c>
      <c r="H39" s="24">
        <f>IF(E39="","",IF(OR(AND(OR(E39="OOTB",E39="Konfigurace",E39="Custom vývoj"),F39=""),G39="Ne"),0,IF(E39="OOTB",5,IF(E39="Konfigurace",3,IF(E39="Custom vývoj",1,0)))))</f>
        <v/>
      </c>
      <c r="I39" s="23" t="inlineStr">
        <is>
          <t>Konfigurace</t>
        </is>
      </c>
      <c r="J39" s="23" t="inlineStr">
        <is>
          <t>6.4</t>
        </is>
      </c>
      <c r="K39" s="18" t="inlineStr">
        <is>
          <t>Ano</t>
        </is>
      </c>
      <c r="L39" s="24">
        <f>IF(I39="","",IF(OR(AND(OR(I39="OOTB",I39="Konfigurace",I39="Custom vývoj"),J39=""),K39="Ne"),0,IF(I39="OOTB",5,IF(I39="Konfigurace",3,IF(I39="Custom vývoj",1,0)))))</f>
        <v/>
      </c>
      <c r="M39" s="23" t="inlineStr">
        <is>
          <t>Konfigurace</t>
        </is>
      </c>
      <c r="N39" s="23" t="inlineStr">
        <is>
          <t>6.4</t>
        </is>
      </c>
      <c r="O39" s="18" t="inlineStr">
        <is>
          <t>Ano</t>
        </is>
      </c>
      <c r="P39" s="24">
        <f>IF(M39="","",IF(OR(AND(OR(M39="OOTB",M39="Konfigurace",M39="Custom vývoj"),N39=""),O39="Ne"),0,IF(M39="OOTB",5,IF(M39="Konfigurace",3,IF(M39="Custom vývoj",1,0)))))</f>
        <v/>
      </c>
      <c r="Q39" s="17" t="inlineStr"/>
    </row>
    <row r="40">
      <c r="A40" s="16" t="inlineStr">
        <is>
          <t>CAS-003</t>
        </is>
      </c>
      <c r="B40" s="17" t="inlineStr">
        <is>
          <t>Rozhodnutí se do 1 minuty propíše do CRM jako stav klienta (aktivní / v prověření / blokován / ukončen) a CRM podle stavu omezí dostupné akce.</t>
        </is>
      </c>
      <c r="C40" s="22" t="inlineStr">
        <is>
          <t>Must</t>
        </is>
      </c>
      <c r="D40" s="22">
        <f>IF(C40="Must",3,IF(C40="Should",2,IF(C40="Could",1,0)))</f>
        <v/>
      </c>
      <c r="E40" s="23" t="inlineStr">
        <is>
          <t>Konfigurace</t>
        </is>
      </c>
      <c r="F40" s="23" t="inlineStr">
        <is>
          <t>5.1</t>
        </is>
      </c>
      <c r="G40" s="18" t="inlineStr">
        <is>
          <t>Ano</t>
        </is>
      </c>
      <c r="H40" s="24">
        <f>IF(E40="","",IF(OR(AND(OR(E40="OOTB",E40="Konfigurace",E40="Custom vývoj"),F40=""),G40="Ne"),0,IF(E40="OOTB",5,IF(E40="Konfigurace",3,IF(E40="Custom vývoj",1,0)))))</f>
        <v/>
      </c>
      <c r="I40" s="23" t="inlineStr">
        <is>
          <t>OOTB</t>
        </is>
      </c>
      <c r="J40" s="23" t="inlineStr">
        <is>
          <t>5.1</t>
        </is>
      </c>
      <c r="K40" s="18" t="inlineStr">
        <is>
          <t>Ano</t>
        </is>
      </c>
      <c r="L40" s="24">
        <f>IF(I40="","",IF(OR(AND(OR(I40="OOTB",I40="Konfigurace",I40="Custom vývoj"),J40=""),K40="Ne"),0,IF(I40="OOTB",5,IF(I40="Konfigurace",3,IF(I40="Custom vývoj",1,0)))))</f>
        <v/>
      </c>
      <c r="M40" s="23" t="inlineStr">
        <is>
          <t>OOTB</t>
        </is>
      </c>
      <c r="N40" s="23" t="inlineStr">
        <is>
          <t>5.1</t>
        </is>
      </c>
      <c r="O40" s="18" t="inlineStr">
        <is>
          <t>Ano</t>
        </is>
      </c>
      <c r="P40" s="24">
        <f>IF(M40="","",IF(OR(AND(OR(M40="OOTB",M40="Konfigurace",M40="Custom vývoj"),N40=""),O40="Ne"),0,IF(M40="OOTB",5,IF(M40="Konfigurace",3,IF(M40="Custom vývoj",1,0)))))</f>
        <v/>
      </c>
      <c r="Q40" s="17" t="inlineStr"/>
    </row>
    <row r="41">
      <c r="A41" s="16" t="inlineStr">
        <is>
          <t>CAS-004</t>
        </is>
      </c>
      <c r="B41" s="17" t="inlineStr">
        <is>
          <t>Zamítnutí nebo blokaci klienta vždy potvrzuje člověk; plně automatické rozhodnutí je možné jen v předem schválených případech (např. přesná shoda se sankčním seznamem).</t>
        </is>
      </c>
      <c r="C41" s="22" t="inlineStr">
        <is>
          <t>Must</t>
        </is>
      </c>
      <c r="D41" s="22">
        <f>IF(C41="Must",3,IF(C41="Should",2,IF(C41="Could",1,0)))</f>
        <v/>
      </c>
      <c r="E41" s="23" t="inlineStr">
        <is>
          <t>OOTB</t>
        </is>
      </c>
      <c r="F41" s="23" t="inlineStr">
        <is>
          <t>6.4</t>
        </is>
      </c>
      <c r="G41" s="18" t="inlineStr">
        <is>
          <t>Ano</t>
        </is>
      </c>
      <c r="H41" s="24">
        <f>IF(E41="","",IF(OR(AND(OR(E41="OOTB",E41="Konfigurace",E41="Custom vývoj"),F41=""),G41="Ne"),0,IF(E41="OOTB",5,IF(E41="Konfigurace",3,IF(E41="Custom vývoj",1,0)))))</f>
        <v/>
      </c>
      <c r="I41" s="23" t="inlineStr">
        <is>
          <t>Konfigurace</t>
        </is>
      </c>
      <c r="J41" s="23" t="inlineStr">
        <is>
          <t>6.4</t>
        </is>
      </c>
      <c r="K41" s="18" t="inlineStr">
        <is>
          <t>Ano</t>
        </is>
      </c>
      <c r="L41" s="24">
        <f>IF(I41="","",IF(OR(AND(OR(I41="OOTB",I41="Konfigurace",I41="Custom vývoj"),J41=""),K41="Ne"),0,IF(I41="OOTB",5,IF(I41="Konfigurace",3,IF(I41="Custom vývoj",1,0)))))</f>
        <v/>
      </c>
      <c r="M41" s="23" t="inlineStr">
        <is>
          <t>OOTB</t>
        </is>
      </c>
      <c r="N41" s="23" t="inlineStr">
        <is>
          <t>6.4</t>
        </is>
      </c>
      <c r="O41" s="18" t="inlineStr">
        <is>
          <t>Ano</t>
        </is>
      </c>
      <c r="P41" s="24">
        <f>IF(M41="","",IF(OR(AND(OR(M41="OOTB",M41="Konfigurace",M41="Custom vývoj"),N41=""),O41="Ne"),0,IF(M41="OOTB",5,IF(M41="Konfigurace",3,IF(M41="Custom vývoj",1,0)))))</f>
        <v/>
      </c>
      <c r="Q41" s="17" t="inlineStr"/>
    </row>
    <row r="42">
      <c r="A42" s="16" t="inlineStr">
        <is>
          <t>CAS-005</t>
        </is>
      </c>
      <c r="B42" s="17" t="inlineStr">
        <is>
          <t>Úplná a neměnná auditní stopa případu: kdo, kdy, jakou akci, s jakým zdůvodněním a s jakými podklady.</t>
        </is>
      </c>
      <c r="C42" s="22" t="inlineStr">
        <is>
          <t>Must</t>
        </is>
      </c>
      <c r="D42" s="22">
        <f>IF(C42="Must",3,IF(C42="Should",2,IF(C42="Could",1,0)))</f>
        <v/>
      </c>
      <c r="E42" s="23" t="inlineStr">
        <is>
          <t>OOTB</t>
        </is>
      </c>
      <c r="F42" s="23" t="inlineStr">
        <is>
          <t>9.2</t>
        </is>
      </c>
      <c r="G42" s="18" t="inlineStr">
        <is>
          <t>Ano</t>
        </is>
      </c>
      <c r="H42" s="24">
        <f>IF(E42="","",IF(OR(AND(OR(E42="OOTB",E42="Konfigurace",E42="Custom vývoj"),F42=""),G42="Ne"),0,IF(E42="OOTB",5,IF(E42="Konfigurace",3,IF(E42="Custom vývoj",1,0)))))</f>
        <v/>
      </c>
      <c r="I42" s="23" t="inlineStr">
        <is>
          <t>Konfigurace</t>
        </is>
      </c>
      <c r="J42" s="23" t="inlineStr">
        <is>
          <t>9.2</t>
        </is>
      </c>
      <c r="K42" s="18" t="inlineStr">
        <is>
          <t>Ano</t>
        </is>
      </c>
      <c r="L42" s="24">
        <f>IF(I42="","",IF(OR(AND(OR(I42="OOTB",I42="Konfigurace",I42="Custom vývoj"),J42=""),K42="Ne"),0,IF(I42="OOTB",5,IF(I42="Konfigurace",3,IF(I42="Custom vývoj",1,0)))))</f>
        <v/>
      </c>
      <c r="M42" s="23" t="inlineStr">
        <is>
          <t>Konfigurace</t>
        </is>
      </c>
      <c r="N42" s="23" t="inlineStr">
        <is>
          <t>9.2</t>
        </is>
      </c>
      <c r="O42" s="18" t="inlineStr">
        <is>
          <t>Ano</t>
        </is>
      </c>
      <c r="P42" s="24">
        <f>IF(M42="","",IF(OR(AND(OR(M42="OOTB",M42="Konfigurace",M42="Custom vývoj"),N42=""),O42="Ne"),0,IF(M42="OOTB",5,IF(M42="Konfigurace",3,IF(M42="Custom vývoj",1,0)))))</f>
        <v/>
      </c>
      <c r="Q42" s="17" t="inlineStr"/>
    </row>
    <row r="43">
      <c r="A43" s="16" t="inlineStr">
        <is>
          <t>CAS-006</t>
        </is>
      </c>
      <c r="B43" s="17" t="inlineStr">
        <is>
          <t>Přílohy případu se ukládají do bankovního DMS; systém drží pouze odkaz a metadata.</t>
        </is>
      </c>
      <c r="C43" s="22" t="inlineStr">
        <is>
          <t>Should</t>
        </is>
      </c>
      <c r="D43" s="22">
        <f>IF(C43="Must",3,IF(C43="Should",2,IF(C43="Could",1,0)))</f>
        <v/>
      </c>
      <c r="E43" s="23" t="inlineStr">
        <is>
          <t>OOTB</t>
        </is>
      </c>
      <c r="F43" s="23" t="inlineStr">
        <is>
          <t>5.5</t>
        </is>
      </c>
      <c r="G43" s="18" t="inlineStr">
        <is>
          <t>Ano</t>
        </is>
      </c>
      <c r="H43" s="24">
        <f>IF(E43="","",IF(OR(AND(OR(E43="OOTB",E43="Konfigurace",E43="Custom vývoj"),F43=""),G43="Ne"),0,IF(E43="OOTB",5,IF(E43="Konfigurace",3,IF(E43="Custom vývoj",1,0)))))</f>
        <v/>
      </c>
      <c r="I43" s="23" t="inlineStr">
        <is>
          <t>Konfigurace</t>
        </is>
      </c>
      <c r="J43" s="23" t="inlineStr">
        <is>
          <t>5.5</t>
        </is>
      </c>
      <c r="K43" s="18" t="inlineStr">
        <is>
          <t>Ano</t>
        </is>
      </c>
      <c r="L43" s="24">
        <f>IF(I43="","",IF(OR(AND(OR(I43="OOTB",I43="Konfigurace",I43="Custom vývoj"),J43=""),K43="Ne"),0,IF(I43="OOTB",5,IF(I43="Konfigurace",3,IF(I43="Custom vývoj",1,0)))))</f>
        <v/>
      </c>
      <c r="M43" s="23" t="inlineStr">
        <is>
          <t>OOTB</t>
        </is>
      </c>
      <c r="N43" s="23" t="inlineStr">
        <is>
          <t>5.5</t>
        </is>
      </c>
      <c r="O43" s="18" t="inlineStr">
        <is>
          <t>Ano</t>
        </is>
      </c>
      <c r="P43" s="24">
        <f>IF(M43="","",IF(OR(AND(OR(M43="OOTB",M43="Konfigurace",M43="Custom vývoj"),N43=""),O43="Ne"),0,IF(M43="OOTB",5,IF(M43="Konfigurace",3,IF(M43="Custom vývoj",1,0)))))</f>
        <v/>
      </c>
      <c r="Q43" s="17" t="inlineStr"/>
    </row>
    <row r="44">
      <c r="A44" s="16" t="inlineStr">
        <is>
          <t>CAS-007</t>
        </is>
      </c>
      <c r="B44" s="17" t="inlineStr">
        <is>
          <t>Eskalace případu na pověřenou osobu (MLRO) a příprava podkladu pro oznámení podezřelého obchodu s předvyplněním údajů z případu.</t>
        </is>
      </c>
      <c r="C44" s="22" t="inlineStr">
        <is>
          <t>Must</t>
        </is>
      </c>
      <c r="D44" s="22">
        <f>IF(C44="Must",3,IF(C44="Should",2,IF(C44="Could",1,0)))</f>
        <v/>
      </c>
      <c r="E44" s="23" t="inlineStr">
        <is>
          <t>Konfigurace</t>
        </is>
      </c>
      <c r="F44" s="23" t="inlineStr">
        <is>
          <t>6.4</t>
        </is>
      </c>
      <c r="G44" s="18" t="inlineStr">
        <is>
          <t>Ano</t>
        </is>
      </c>
      <c r="H44" s="24">
        <f>IF(E44="","",IF(OR(AND(OR(E44="OOTB",E44="Konfigurace",E44="Custom vývoj"),F44=""),G44="Ne"),0,IF(E44="OOTB",5,IF(E44="Konfigurace",3,IF(E44="Custom vývoj",1,0)))))</f>
        <v/>
      </c>
      <c r="I44" s="23" t="inlineStr">
        <is>
          <t>Konfigurace</t>
        </is>
      </c>
      <c r="J44" s="23" t="inlineStr">
        <is>
          <t>6.4</t>
        </is>
      </c>
      <c r="K44" s="18" t="inlineStr">
        <is>
          <t>Ano</t>
        </is>
      </c>
      <c r="L44" s="24">
        <f>IF(I44="","",IF(OR(AND(OR(I44="OOTB",I44="Konfigurace",I44="Custom vývoj"),J44=""),K44="Ne"),0,IF(I44="OOTB",5,IF(I44="Konfigurace",3,IF(I44="Custom vývoj",1,0)))))</f>
        <v/>
      </c>
      <c r="M44" s="23" t="inlineStr">
        <is>
          <t>Konfigurace</t>
        </is>
      </c>
      <c r="N44" s="23" t="inlineStr">
        <is>
          <t>6.4</t>
        </is>
      </c>
      <c r="O44" s="18" t="inlineStr">
        <is>
          <t>Ano</t>
        </is>
      </c>
      <c r="P44" s="24">
        <f>IF(M44="","",IF(OR(AND(OR(M44="OOTB",M44="Konfigurace",M44="Custom vývoj"),N44=""),O44="Ne"),0,IF(M44="OOTB",5,IF(M44="Konfigurace",3,IF(M44="Custom vývoj",1,0)))))</f>
        <v/>
      </c>
      <c r="Q44" s="17" t="inlineStr"/>
    </row>
    <row r="45">
      <c r="A45" s="16" t="inlineStr">
        <is>
          <t>CAS-008</t>
        </is>
      </c>
      <c r="B45" s="17" t="inlineStr">
        <is>
          <t>Hromadné uzavření alertů je možné jen s povinným zdůvodněním a zvláštním oprávněním.</t>
        </is>
      </c>
      <c r="C45" s="22" t="inlineStr">
        <is>
          <t>Could</t>
        </is>
      </c>
      <c r="D45" s="22">
        <f>IF(C45="Must",3,IF(C45="Should",2,IF(C45="Could",1,0)))</f>
        <v/>
      </c>
      <c r="E45" s="23" t="inlineStr">
        <is>
          <t>OOTB</t>
        </is>
      </c>
      <c r="F45" s="23" t="inlineStr">
        <is>
          <t>6.4</t>
        </is>
      </c>
      <c r="G45" s="18" t="inlineStr">
        <is>
          <t>Ano</t>
        </is>
      </c>
      <c r="H45" s="24">
        <f>IF(E45="","",IF(OR(AND(OR(E45="OOTB",E45="Konfigurace",E45="Custom vývoj"),F45=""),G45="Ne"),0,IF(E45="OOTB",5,IF(E45="Konfigurace",3,IF(E45="Custom vývoj",1,0)))))</f>
        <v/>
      </c>
      <c r="I45" s="23" t="inlineStr">
        <is>
          <t>OOTB</t>
        </is>
      </c>
      <c r="J45" s="23" t="inlineStr">
        <is>
          <t>6.4</t>
        </is>
      </c>
      <c r="K45" s="18" t="inlineStr">
        <is>
          <t>Ano</t>
        </is>
      </c>
      <c r="L45" s="24">
        <f>IF(I45="","",IF(OR(AND(OR(I45="OOTB",I45="Konfigurace",I45="Custom vývoj"),J45=""),K45="Ne"),0,IF(I45="OOTB",5,IF(I45="Konfigurace",3,IF(I45="Custom vývoj",1,0)))))</f>
        <v/>
      </c>
      <c r="M45" s="23" t="inlineStr">
        <is>
          <t>Konfigurace</t>
        </is>
      </c>
      <c r="N45" s="23" t="inlineStr">
        <is>
          <t>6.4</t>
        </is>
      </c>
      <c r="O45" s="18" t="inlineStr">
        <is>
          <t>Ano</t>
        </is>
      </c>
      <c r="P45" s="24">
        <f>IF(M45="","",IF(OR(AND(OR(M45="OOTB",M45="Konfigurace",M45="Custom vývoj"),N45=""),O45="Ne"),0,IF(M45="OOTB",5,IF(M45="Konfigurace",3,IF(M45="Custom vývoj",1,0)))))</f>
        <v/>
      </c>
      <c r="Q45" s="17" t="inlineStr"/>
    </row>
    <row r="46">
      <c r="A46" s="16" t="inlineStr">
        <is>
          <t>REP-001</t>
        </is>
      </c>
      <c r="B46" s="17" t="inlineStr">
        <is>
          <t>Generování oznámení podezřelého obchodu (OPO) ve struktuře požadované Finančním analytickým úřadem pro elektronické podání.</t>
        </is>
      </c>
      <c r="C46" s="22" t="inlineStr">
        <is>
          <t>Must</t>
        </is>
      </c>
      <c r="D46" s="22">
        <f>IF(C46="Must",3,IF(C46="Should",2,IF(C46="Could",1,0)))</f>
        <v/>
      </c>
      <c r="E46" s="23" t="inlineStr">
        <is>
          <t>OOTB</t>
        </is>
      </c>
      <c r="F46" s="23" t="inlineStr">
        <is>
          <t>6.5</t>
        </is>
      </c>
      <c r="G46" s="18" t="inlineStr">
        <is>
          <t>Ano</t>
        </is>
      </c>
      <c r="H46" s="24">
        <f>IF(E46="","",IF(OR(AND(OR(E46="OOTB",E46="Konfigurace",E46="Custom vývoj"),F46=""),G46="Ne"),0,IF(E46="OOTB",5,IF(E46="Konfigurace",3,IF(E46="Custom vývoj",1,0)))))</f>
        <v/>
      </c>
      <c r="I46" s="23" t="inlineStr">
        <is>
          <t>Konfigurace</t>
        </is>
      </c>
      <c r="J46" s="23" t="inlineStr">
        <is>
          <t>6.5</t>
        </is>
      </c>
      <c r="K46" s="18" t="inlineStr">
        <is>
          <t>Ano</t>
        </is>
      </c>
      <c r="L46" s="24">
        <f>IF(I46="","",IF(OR(AND(OR(I46="OOTB",I46="Konfigurace",I46="Custom vývoj"),J46=""),K46="Ne"),0,IF(I46="OOTB",5,IF(I46="Konfigurace",3,IF(I46="Custom vývoj",1,0)))))</f>
        <v/>
      </c>
      <c r="M46" s="23" t="inlineStr">
        <is>
          <t>Konfigurace</t>
        </is>
      </c>
      <c r="N46" s="23" t="inlineStr">
        <is>
          <t>6.5</t>
        </is>
      </c>
      <c r="O46" s="18" t="inlineStr">
        <is>
          <t>Ano</t>
        </is>
      </c>
      <c r="P46" s="24">
        <f>IF(M46="","",IF(OR(AND(OR(M46="OOTB",M46="Konfigurace",M46="Custom vývoj"),N46=""),O46="Ne"),0,IF(M46="OOTB",5,IF(M46="Konfigurace",3,IF(M46="Custom vývoj",1,0)))))</f>
        <v/>
      </c>
      <c r="Q46" s="17" t="inlineStr"/>
    </row>
    <row r="47">
      <c r="A47" s="16" t="inlineStr">
        <is>
          <t>REP-002</t>
        </is>
      </c>
      <c r="B47" s="17" t="inlineStr">
        <is>
          <t>Manažerský reporting: počty alertů a případů, backlog, doba zpracování, míra falešně pozitivních shod, rozložení rizikovosti klientské báze.</t>
        </is>
      </c>
      <c r="C47" s="22" t="inlineStr">
        <is>
          <t>Should</t>
        </is>
      </c>
      <c r="D47" s="22">
        <f>IF(C47="Must",3,IF(C47="Should",2,IF(C47="Could",1,0)))</f>
        <v/>
      </c>
      <c r="E47" s="23" t="inlineStr">
        <is>
          <t>OOTB</t>
        </is>
      </c>
      <c r="F47" s="23" t="inlineStr">
        <is>
          <t>6.5</t>
        </is>
      </c>
      <c r="G47" s="18" t="inlineStr">
        <is>
          <t>Ano</t>
        </is>
      </c>
      <c r="H47" s="24">
        <f>IF(E47="","",IF(OR(AND(OR(E47="OOTB",E47="Konfigurace",E47="Custom vývoj"),F47=""),G47="Ne"),0,IF(E47="OOTB",5,IF(E47="Konfigurace",3,IF(E47="Custom vývoj",1,0)))))</f>
        <v/>
      </c>
      <c r="I47" s="23" t="inlineStr">
        <is>
          <t>Konfigurace</t>
        </is>
      </c>
      <c r="J47" s="23" t="inlineStr">
        <is>
          <t>6.5</t>
        </is>
      </c>
      <c r="K47" s="18" t="inlineStr">
        <is>
          <t>Ano</t>
        </is>
      </c>
      <c r="L47" s="24">
        <f>IF(I47="","",IF(OR(AND(OR(I47="OOTB",I47="Konfigurace",I47="Custom vývoj"),J47=""),K47="Ne"),0,IF(I47="OOTB",5,IF(I47="Konfigurace",3,IF(I47="Custom vývoj",1,0)))))</f>
        <v/>
      </c>
      <c r="M47" s="23" t="inlineStr">
        <is>
          <t>OOTB</t>
        </is>
      </c>
      <c r="N47" s="23" t="inlineStr">
        <is>
          <t>6.5</t>
        </is>
      </c>
      <c r="O47" s="18" t="inlineStr">
        <is>
          <t>Ano</t>
        </is>
      </c>
      <c r="P47" s="24">
        <f>IF(M47="","",IF(OR(AND(OR(M47="OOTB",M47="Konfigurace",M47="Custom vývoj"),N47=""),O47="Ne"),0,IF(M47="OOTB",5,IF(M47="Konfigurace",3,IF(M47="Custom vývoj",1,0)))))</f>
        <v/>
      </c>
      <c r="Q47" s="17" t="inlineStr"/>
    </row>
    <row r="48">
      <c r="A48" s="16" t="inlineStr">
        <is>
          <t>REP-003</t>
        </is>
      </c>
      <c r="B48" s="17" t="inlineStr">
        <is>
          <t>Podklady pro výroční hodnocení rizik a systému vnitřních zásad a pro pravidelný sběr dat ČNB v oblasti AML.</t>
        </is>
      </c>
      <c r="C48" s="22" t="inlineStr">
        <is>
          <t>Should</t>
        </is>
      </c>
      <c r="D48" s="22">
        <f>IF(C48="Must",3,IF(C48="Should",2,IF(C48="Could",1,0)))</f>
        <v/>
      </c>
      <c r="E48" s="23" t="inlineStr">
        <is>
          <t>Konfigurace</t>
        </is>
      </c>
      <c r="F48" s="23" t="inlineStr">
        <is>
          <t>6.5</t>
        </is>
      </c>
      <c r="G48" s="18" t="inlineStr">
        <is>
          <t>Ano</t>
        </is>
      </c>
      <c r="H48" s="24">
        <f>IF(E48="","",IF(OR(AND(OR(E48="OOTB",E48="Konfigurace",E48="Custom vývoj"),F48=""),G48="Ne"),0,IF(E48="OOTB",5,IF(E48="Konfigurace",3,IF(E48="Custom vývoj",1,0)))))</f>
        <v/>
      </c>
      <c r="I48" s="23" t="inlineStr">
        <is>
          <t>OOTB</t>
        </is>
      </c>
      <c r="J48" s="23" t="inlineStr">
        <is>
          <t>6.5</t>
        </is>
      </c>
      <c r="K48" s="18" t="inlineStr">
        <is>
          <t>Ano</t>
        </is>
      </c>
      <c r="L48" s="24">
        <f>IF(I48="","",IF(OR(AND(OR(I48="OOTB",I48="Konfigurace",I48="Custom vývoj"),J48=""),K48="Ne"),0,IF(I48="OOTB",5,IF(I48="Konfigurace",3,IF(I48="Custom vývoj",1,0)))))</f>
        <v/>
      </c>
      <c r="M48" s="23" t="inlineStr">
        <is>
          <t>Konfigurace</t>
        </is>
      </c>
      <c r="N48" s="23" t="inlineStr">
        <is>
          <t>6.5</t>
        </is>
      </c>
      <c r="O48" s="18" t="inlineStr">
        <is>
          <t>Ano</t>
        </is>
      </c>
      <c r="P48" s="24">
        <f>IF(M48="","",IF(OR(AND(OR(M48="OOTB",M48="Konfigurace",M48="Custom vývoj"),N48=""),O48="Ne"),0,IF(M48="OOTB",5,IF(M48="Konfigurace",3,IF(M48="Custom vývoj",1,0)))))</f>
        <v/>
      </c>
      <c r="Q48" s="17" t="inlineStr"/>
    </row>
    <row r="49">
      <c r="A49" s="16" t="inlineStr">
        <is>
          <t>REP-004</t>
        </is>
      </c>
      <c r="B49" s="17" t="inlineStr">
        <is>
          <t>Vyhledání všech údajů o klientovi, jeho případech a transakcích za zadané období pro odpověď na dotaz FAÚ nebo orgánu činného v trestním řízení.</t>
        </is>
      </c>
      <c r="C49" s="22" t="inlineStr">
        <is>
          <t>Must</t>
        </is>
      </c>
      <c r="D49" s="22">
        <f>IF(C49="Must",3,IF(C49="Should",2,IF(C49="Could",1,0)))</f>
        <v/>
      </c>
      <c r="E49" s="23" t="inlineStr">
        <is>
          <t>Konfigurace</t>
        </is>
      </c>
      <c r="F49" s="23" t="inlineStr">
        <is>
          <t>6.5</t>
        </is>
      </c>
      <c r="G49" s="18" t="inlineStr">
        <is>
          <t>Ano</t>
        </is>
      </c>
      <c r="H49" s="24">
        <f>IF(E49="","",IF(OR(AND(OR(E49="OOTB",E49="Konfigurace",E49="Custom vývoj"),F49=""),G49="Ne"),0,IF(E49="OOTB",5,IF(E49="Konfigurace",3,IF(E49="Custom vývoj",1,0)))))</f>
        <v/>
      </c>
      <c r="I49" s="23" t="inlineStr">
        <is>
          <t>3rd party</t>
        </is>
      </c>
      <c r="J49" s="23" t="inlineStr"/>
      <c r="K49" s="18" t="inlineStr"/>
      <c r="L49" s="24">
        <f>IF(I49="","",IF(OR(AND(OR(I49="OOTB",I49="Konfigurace",I49="Custom vývoj"),J49=""),K49="Ne"),0,IF(I49="OOTB",5,IF(I49="Konfigurace",3,IF(I49="Custom vývoj",1,0)))))</f>
        <v/>
      </c>
      <c r="M49" s="23" t="inlineStr">
        <is>
          <t>OOTB</t>
        </is>
      </c>
      <c r="N49" s="23" t="inlineStr">
        <is>
          <t>6.5</t>
        </is>
      </c>
      <c r="O49" s="18" t="inlineStr">
        <is>
          <t>Ano</t>
        </is>
      </c>
      <c r="P49" s="24">
        <f>IF(M49="","",IF(OR(AND(OR(M49="OOTB",M49="Konfigurace",M49="Custom vývoj"),N49=""),O49="Ne"),0,IF(M49="OOTB",5,IF(M49="Konfigurace",3,IF(M49="Custom vývoj",1,0)))))</f>
        <v/>
      </c>
      <c r="Q49" s="17" t="inlineStr"/>
    </row>
    <row r="51">
      <c r="B51" s="13" t="inlineStr">
        <is>
          <t>Pokrytí byznys funkcionalit (vážené)</t>
        </is>
      </c>
      <c r="H51" s="25">
        <f>SUMPRODUCT(N(+H6:H49),$D$6:$D$49)/(5*SUM($D$6:$D$49))</f>
        <v/>
      </c>
      <c r="L51" s="25">
        <f>SUMPRODUCT(N(+L6:L49),$D$6:$D$49)/(5*SUM($D$6:$D$49))</f>
        <v/>
      </c>
      <c r="P51" s="25">
        <f>SUMPRODUCT(N(+P6:P49),$D$6:$D$49)/(5*SUM($D$6:$D$49))</f>
        <v/>
      </c>
    </row>
    <row r="52">
      <c r="B52" s="13" t="inlineStr">
        <is>
          <t>Body (max. 30)</t>
        </is>
      </c>
      <c r="H52" s="26">
        <f>H51*Parametry!$B$7*100</f>
        <v/>
      </c>
      <c r="L52" s="26">
        <f>L51*Parametry!$B$7*100</f>
        <v/>
      </c>
      <c r="P52" s="26">
        <f>P51*Parametry!$B$7*100</f>
        <v/>
      </c>
    </row>
    <row r="53">
      <c r="B53" s="13" t="inlineStr">
        <is>
          <t>Počet odpovědí Custom vývoj</t>
        </is>
      </c>
      <c r="H53" s="27">
        <f>COUNTIF(E6:E49,"Custom vývoj")</f>
        <v/>
      </c>
      <c r="L53" s="27">
        <f>COUNTIF(I6:I49,"Custom vývoj")</f>
        <v/>
      </c>
      <c r="P53" s="27">
        <f>COUNTIF(M6:M49,"Custom vývoj")</f>
        <v/>
      </c>
    </row>
    <row r="54">
      <c r="B54" s="13" t="inlineStr">
        <is>
          <t>Počet nesplněných / 3rd party</t>
        </is>
      </c>
      <c r="H54" s="27">
        <f>COUNTIF(E6:E49,"Nesplněno")+COUNTIF(E6:E49,"3rd party")</f>
        <v/>
      </c>
      <c r="L54" s="27">
        <f>COUNTIF(I6:I49,"Nesplněno")+COUNTIF(I6:I49,"3rd party")</f>
        <v/>
      </c>
      <c r="P54" s="27">
        <f>COUNTIF(M6:M49,"Nesplněno")+COUNTIF(M6:M49,"3rd party")</f>
        <v/>
      </c>
    </row>
  </sheetData>
  <conditionalFormatting sqref="Q6:Q49">
    <cfRule type="expression" priority="1" dxfId="0">
      <formula>AND(Q6="",OR(AND(ISNUMBER(H6),H6=0,E6&lt;&gt;"Nesplněno",E6&lt;&gt;"3rd party"),AND(ISNUMBER(L6),L6=0,I6&lt;&gt;"Nesplněno",I6&lt;&gt;"3rd party"),AND(ISNUMBER(P6),P6=0,M6&lt;&gt;"Nesplněno",M6&lt;&gt;"3rd party")))</formula>
    </cfRule>
  </conditionalFormatting>
  <dataValidations count="6">
    <dataValidation sqref="E6:E4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G6:G49" showDropDown="0" showInputMessage="0" showErrorMessage="0" allowBlank="1" errorTitle="Neplatná hodnota" error="Vyberte hodnotu ze seznamu." type="list">
      <formula1>"Ano,Ne"</formula1>
    </dataValidation>
    <dataValidation sqref="I6:I4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K6:K49" showDropDown="0" showInputMessage="0" showErrorMessage="0" allowBlank="1" errorTitle="Neplatná hodnota" error="Vyberte hodnotu ze seznamu." type="list">
      <formula1>"Ano,Ne"</formula1>
    </dataValidation>
    <dataValidation sqref="M6:M4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O6:O49" showDropDown="0" showInputMessage="0" showErrorMessage="0" allowBlank="1" errorTitle="Neplatná hodnota" error="Vyberte hodnotu ze seznamu." type="list">
      <formula1>"Ano,Ne"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9" customWidth="1" min="8" max="8"/>
    <col width="13" customWidth="1" min="9" max="9"/>
    <col width="60" customWidth="1" min="10" max="10"/>
    <col width="16" customWidth="1" min="11" max="11"/>
  </cols>
  <sheetData>
    <row r="1">
      <c r="A1" s="1" t="inlineStr">
        <is>
          <t>3 – Architektura a bezpečnost (20 %) – hodnocení Feasibility Study, škála 0–10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 ht="42" customHeight="1">
      <c r="A5" s="10" t="inlineStr">
        <is>
          <t>Dodavatel</t>
        </is>
      </c>
      <c r="B5" s="10" t="inlineStr">
        <is>
          <t>Kritérium (kapitola FS)</t>
        </is>
      </c>
      <c r="C5" s="10" t="inlineStr">
        <is>
          <t>Popis</t>
        </is>
      </c>
      <c r="D5" s="15" t="inlineStr">
        <is>
          <t>Ing. Jana Novotná</t>
        </is>
      </c>
      <c r="E5" s="15" t="inlineStr">
        <is>
          <t>Ing. Martin Dvořák</t>
        </is>
      </c>
      <c r="F5" s="15" t="inlineStr">
        <is>
          <t>Mgr. Tomáš Svoboda</t>
        </is>
      </c>
      <c r="G5" s="15" t="inlineStr">
        <is>
          <t>JUDr. Lucie Malá</t>
        </is>
      </c>
      <c r="H5" s="21" t="inlineStr">
        <is>
          <t>Průměr</t>
        </is>
      </c>
      <c r="I5" s="21" t="inlineStr">
        <is>
          <t>Průměr kritéria (všichni dodavatelé)</t>
        </is>
      </c>
      <c r="J5" s="15" t="inlineStr">
        <is>
          <t>Zdůvodnění (povinné u známky pod průměrem kritéria)</t>
        </is>
      </c>
      <c r="K5" s="21" t="inlineStr">
        <is>
          <t>Kontrola</t>
        </is>
      </c>
    </row>
    <row r="6">
      <c r="A6" s="16" t="inlineStr">
        <is>
          <t>Dodavatel A</t>
        </is>
      </c>
      <c r="B6" s="16" t="inlineStr">
        <is>
          <t>FS 3</t>
        </is>
      </c>
      <c r="C6" s="17" t="inlineStr">
        <is>
          <t>Návrh cílové architektury (hosting, DB, HA/DR, sizing)</t>
        </is>
      </c>
      <c r="D6" s="18" t="n">
        <v>9</v>
      </c>
      <c r="E6" s="18" t="n">
        <v>8</v>
      </c>
      <c r="F6" s="18" t="n">
        <v>8</v>
      </c>
      <c r="G6" s="18" t="n">
        <v>8</v>
      </c>
      <c r="H6" s="28">
        <f>AVERAGE(D6:G6)</f>
        <v/>
      </c>
      <c r="I6" s="28">
        <f>AVERAGE(D6:G6,D12:G12,D18:G18)</f>
        <v/>
      </c>
      <c r="J6" s="17" t="inlineStr"/>
      <c r="K6" s="29">
        <f>IF(AND(MIN(D6:G6)&lt;I6,J6=""),"DOPLNIT ZDŮVODNĚNÍ","OK")</f>
        <v/>
      </c>
    </row>
    <row r="7">
      <c r="A7" s="16" t="inlineStr">
        <is>
          <t>Dodavatel A</t>
        </is>
      </c>
      <c r="B7" s="16" t="inlineStr">
        <is>
          <t>FS 4</t>
        </is>
      </c>
      <c r="C7" s="17" t="inlineStr">
        <is>
          <t>Bezpečnostní koncept (role, šifrování, logování, zranitelnosti, pentesty)</t>
        </is>
      </c>
      <c r="D7" s="18" t="n">
        <v>8</v>
      </c>
      <c r="E7" s="18" t="n">
        <v>9</v>
      </c>
      <c r="F7" s="18" t="n">
        <v>8</v>
      </c>
      <c r="G7" s="18" t="n">
        <v>8</v>
      </c>
      <c r="H7" s="28">
        <f>AVERAGE(D7:G7)</f>
        <v/>
      </c>
      <c r="I7" s="28">
        <f>AVERAGE(D7:G7,D13:G13,D19:G19)</f>
        <v/>
      </c>
      <c r="J7" s="17" t="inlineStr"/>
      <c r="K7" s="29">
        <f>IF(AND(MIN(D7:G7)&lt;I7,J7=""),"DOPLNIT ZDŮVODNĚNÍ","OK")</f>
        <v/>
      </c>
    </row>
    <row r="8">
      <c r="A8" s="16" t="inlineStr">
        <is>
          <t>Dodavatel A</t>
        </is>
      </c>
      <c r="B8" s="16" t="inlineStr">
        <is>
          <t>FS 5</t>
        </is>
      </c>
      <c r="C8" s="17" t="inlineStr">
        <is>
          <t>Řešení kritických integrací (CRM, core přes Kafka, platby, DWH)</t>
        </is>
      </c>
      <c r="D8" s="18" t="n">
        <v>8</v>
      </c>
      <c r="E8" s="18" t="n">
        <v>8</v>
      </c>
      <c r="F8" s="18" t="n">
        <v>9</v>
      </c>
      <c r="G8" s="18" t="n">
        <v>8</v>
      </c>
      <c r="H8" s="28">
        <f>AVERAGE(D8:G8)</f>
        <v/>
      </c>
      <c r="I8" s="28">
        <f>AVERAGE(D8:G8,D14:G14,D20:G20)</f>
        <v/>
      </c>
      <c r="J8" s="17" t="inlineStr"/>
      <c r="K8" s="29">
        <f>IF(AND(MIN(D8:G8)&lt;I8,J8=""),"DOPLNIT ZDŮVODNĚNÍ","OK")</f>
        <v/>
      </c>
    </row>
    <row r="9">
      <c r="A9" s="16" t="inlineStr">
        <is>
          <t>Dodavatel A</t>
        </is>
      </c>
      <c r="B9" s="16" t="inlineStr">
        <is>
          <t>FS 6.6</t>
        </is>
      </c>
      <c r="C9" s="17" t="inlineStr">
        <is>
          <t>Řešení custom požadavků</t>
        </is>
      </c>
      <c r="D9" s="18" t="n">
        <v>7</v>
      </c>
      <c r="E9" s="18" t="n">
        <v>7</v>
      </c>
      <c r="F9" s="18" t="n">
        <v>8</v>
      </c>
      <c r="G9" s="18" t="n">
        <v>7</v>
      </c>
      <c r="H9" s="28">
        <f>AVERAGE(D9:G9)</f>
        <v/>
      </c>
      <c r="I9" s="28">
        <f>AVERAGE(D9:G9,D15:G15,D21:G21)</f>
        <v/>
      </c>
      <c r="J9" s="17" t="inlineStr"/>
      <c r="K9" s="29">
        <f>IF(AND(MIN(D9:G9)&lt;I9,J9=""),"DOPLNIT ZDŮVODNĚNÍ","OK")</f>
        <v/>
      </c>
    </row>
    <row r="10">
      <c r="A10" s="16" t="inlineStr">
        <is>
          <t>Dodavatel A</t>
        </is>
      </c>
      <c r="B10" s="16" t="inlineStr">
        <is>
          <t>FS 7</t>
        </is>
      </c>
      <c r="C10" s="17" t="inlineStr">
        <is>
          <t>Plán implementace a migrace bez výpadku</t>
        </is>
      </c>
      <c r="D10" s="18" t="n">
        <v>8</v>
      </c>
      <c r="E10" s="18" t="n">
        <v>8</v>
      </c>
      <c r="F10" s="18" t="n">
        <v>8</v>
      </c>
      <c r="G10" s="18" t="n">
        <v>9</v>
      </c>
      <c r="H10" s="28">
        <f>AVERAGE(D10:G10)</f>
        <v/>
      </c>
      <c r="I10" s="28">
        <f>AVERAGE(D10:G10,D16:G16,D22:G22)</f>
        <v/>
      </c>
      <c r="J10" s="17" t="inlineStr"/>
      <c r="K10" s="29">
        <f>IF(AND(MIN(D10:G10)&lt;I10,J10=""),"DOPLNIT ZDŮVODNĚNÍ","OK")</f>
        <v/>
      </c>
    </row>
    <row r="11">
      <c r="A11" s="16" t="inlineStr">
        <is>
          <t>Dodavatel A</t>
        </is>
      </c>
      <c r="B11" s="16" t="inlineStr">
        <is>
          <t>FS 9–10</t>
        </is>
      </c>
      <c r="C11" s="17" t="inlineStr">
        <is>
          <t>Regulatorní soulad, auditovatelnost a exit strategie</t>
        </is>
      </c>
      <c r="D11" s="18" t="n">
        <v>8</v>
      </c>
      <c r="E11" s="18" t="n">
        <v>8</v>
      </c>
      <c r="F11" s="18" t="n">
        <v>9</v>
      </c>
      <c r="G11" s="18" t="n">
        <v>9</v>
      </c>
      <c r="H11" s="28">
        <f>AVERAGE(D11:G11)</f>
        <v/>
      </c>
      <c r="I11" s="28">
        <f>AVERAGE(D11:G11,D17:G17,D23:G23)</f>
        <v/>
      </c>
      <c r="J11" s="17" t="inlineStr"/>
      <c r="K11" s="29">
        <f>IF(AND(MIN(D11:G11)&lt;I11,J11=""),"DOPLNIT ZDŮVODNĚNÍ","OK")</f>
        <v/>
      </c>
    </row>
    <row r="12">
      <c r="A12" s="16" t="inlineStr">
        <is>
          <t>Dodavatel B</t>
        </is>
      </c>
      <c r="B12" s="16" t="inlineStr">
        <is>
          <t>FS 3</t>
        </is>
      </c>
      <c r="C12" s="17" t="inlineStr">
        <is>
          <t>Návrh cílové architektury (hosting, DB, HA/DR, sizing)</t>
        </is>
      </c>
      <c r="D12" s="18" t="n">
        <v>7</v>
      </c>
      <c r="E12" s="18" t="n">
        <v>7</v>
      </c>
      <c r="F12" s="18" t="n">
        <v>7</v>
      </c>
      <c r="G12" s="18" t="n">
        <v>7</v>
      </c>
      <c r="H12" s="28">
        <f>AVERAGE(D12:G12)</f>
        <v/>
      </c>
      <c r="I12" s="28">
        <f>AVERAGE(D6:G6,D12:G12,D18:G18)</f>
        <v/>
      </c>
      <c r="J12" s="17" t="inlineStr">
        <is>
          <t>Sizing HW uveden jen pro PROD, chybí PreProd a DR.</t>
        </is>
      </c>
      <c r="K12" s="29">
        <f>IF(AND(MIN(D12:G12)&lt;I12,J12=""),"DOPLNIT ZDŮVODNĚNÍ","OK")</f>
        <v/>
      </c>
    </row>
    <row r="13">
      <c r="A13" s="16" t="inlineStr">
        <is>
          <t>Dodavatel B</t>
        </is>
      </c>
      <c r="B13" s="16" t="inlineStr">
        <is>
          <t>FS 4</t>
        </is>
      </c>
      <c r="C13" s="17" t="inlineStr">
        <is>
          <t>Bezpečnostní koncept (role, šifrování, logování, zranitelnosti, pentesty)</t>
        </is>
      </c>
      <c r="D13" s="18" t="n">
        <v>6</v>
      </c>
      <c r="E13" s="18" t="n">
        <v>5</v>
      </c>
      <c r="F13" s="18" t="n">
        <v>6</v>
      </c>
      <c r="G13" s="18" t="n">
        <v>7</v>
      </c>
      <c r="H13" s="28">
        <f>AVERAGE(D13:G13)</f>
        <v/>
      </c>
      <c r="I13" s="28">
        <f>AVERAGE(D7:G7,D13:G13,D19:G19)</f>
        <v/>
      </c>
      <c r="J13" s="17" t="inlineStr">
        <is>
          <t>Správa šifrovacích klíčů u dodavatele, ne v HSM Banky; chybí harmonogram penetračních testů.</t>
        </is>
      </c>
      <c r="K13" s="29">
        <f>IF(AND(MIN(D13:G13)&lt;I13,J13=""),"DOPLNIT ZDŮVODNĚNÍ","OK")</f>
        <v/>
      </c>
    </row>
    <row r="14">
      <c r="A14" s="16" t="inlineStr">
        <is>
          <t>Dodavatel B</t>
        </is>
      </c>
      <c r="B14" s="16" t="inlineStr">
        <is>
          <t>FS 5</t>
        </is>
      </c>
      <c r="C14" s="17" t="inlineStr">
        <is>
          <t>Řešení kritických integrací (CRM, core přes Kafka, platby, DWH)</t>
        </is>
      </c>
      <c r="D14" s="18" t="n">
        <v>5</v>
      </c>
      <c r="E14" s="18" t="n">
        <v>6</v>
      </c>
      <c r="F14" s="18" t="n">
        <v>6</v>
      </c>
      <c r="G14" s="18" t="n">
        <v>6</v>
      </c>
      <c r="H14" s="28">
        <f>AVERAGE(D14:G14)</f>
        <v/>
      </c>
      <c r="I14" s="28">
        <f>AVERAGE(D8:G8,D14:G14,D20:G20)</f>
        <v/>
      </c>
      <c r="J14" s="17" t="inlineStr">
        <is>
          <t>Dodavatel navrhuje point-to-point integraci na core banking namísto požadované bankovní Kafka sběrnice.</t>
        </is>
      </c>
      <c r="K14" s="29">
        <f>IF(AND(MIN(D14:G14)&lt;I14,J14=""),"DOPLNIT ZDŮVODNĚNÍ","OK")</f>
        <v/>
      </c>
    </row>
    <row r="15">
      <c r="A15" s="16" t="inlineStr">
        <is>
          <t>Dodavatel B</t>
        </is>
      </c>
      <c r="B15" s="16" t="inlineStr">
        <is>
          <t>FS 6.6</t>
        </is>
      </c>
      <c r="C15" s="17" t="inlineStr">
        <is>
          <t>Řešení custom požadavků</t>
        </is>
      </c>
      <c r="D15" s="18" t="n">
        <v>6</v>
      </c>
      <c r="E15" s="18" t="n">
        <v>6</v>
      </c>
      <c r="F15" s="18" t="n">
        <v>6</v>
      </c>
      <c r="G15" s="18" t="n">
        <v>5</v>
      </c>
      <c r="H15" s="28">
        <f>AVERAGE(D15:G15)</f>
        <v/>
      </c>
      <c r="I15" s="28">
        <f>AVERAGE(D9:G9,D15:G15,D21:G21)</f>
        <v/>
      </c>
      <c r="J15" s="17" t="inlineStr">
        <is>
          <t>Custom vývoj popsán obecně bez odhadu pracnosti a dopadu na upgrady.</t>
        </is>
      </c>
      <c r="K15" s="29">
        <f>IF(AND(MIN(D15:G15)&lt;I15,J15=""),"DOPLNIT ZDŮVODNĚNÍ","OK")</f>
        <v/>
      </c>
    </row>
    <row r="16">
      <c r="A16" s="16" t="inlineStr">
        <is>
          <t>Dodavatel B</t>
        </is>
      </c>
      <c r="B16" s="16" t="inlineStr">
        <is>
          <t>FS 7</t>
        </is>
      </c>
      <c r="C16" s="17" t="inlineStr">
        <is>
          <t>Plán implementace a migrace bez výpadku</t>
        </is>
      </c>
      <c r="D16" s="18" t="n">
        <v>7</v>
      </c>
      <c r="E16" s="18" t="n">
        <v>7</v>
      </c>
      <c r="F16" s="18" t="n">
        <v>6</v>
      </c>
      <c r="G16" s="18" t="n">
        <v>7</v>
      </c>
      <c r="H16" s="28">
        <f>AVERAGE(D16:G16)</f>
        <v/>
      </c>
      <c r="I16" s="28">
        <f>AVERAGE(D10:G10,D16:G16,D22:G22)</f>
        <v/>
      </c>
      <c r="J16" s="17" t="inlineStr">
        <is>
          <t>Paralelní provoz jen 2 týdny a bez popsané rekonciliace historie případů.</t>
        </is>
      </c>
      <c r="K16" s="29">
        <f>IF(AND(MIN(D16:G16)&lt;I16,J16=""),"DOPLNIT ZDŮVODNĚNÍ","OK")</f>
        <v/>
      </c>
    </row>
    <row r="17">
      <c r="A17" s="16" t="inlineStr">
        <is>
          <t>Dodavatel B</t>
        </is>
      </c>
      <c r="B17" s="16" t="inlineStr">
        <is>
          <t>FS 9–10</t>
        </is>
      </c>
      <c r="C17" s="17" t="inlineStr">
        <is>
          <t>Regulatorní soulad, auditovatelnost a exit strategie</t>
        </is>
      </c>
      <c r="D17" s="18" t="n">
        <v>6</v>
      </c>
      <c r="E17" s="18" t="n">
        <v>6</v>
      </c>
      <c r="F17" s="18" t="n">
        <v>7</v>
      </c>
      <c r="G17" s="18" t="n">
        <v>6</v>
      </c>
      <c r="H17" s="28">
        <f>AVERAGE(D17:G17)</f>
        <v/>
      </c>
      <c r="I17" s="28">
        <f>AVERAGE(D11:G11,D17:G17,D23:G23)</f>
        <v/>
      </c>
      <c r="J17" s="17" t="inlineStr">
        <is>
          <t>Exit plán neřeší export auditních stop a historie screeningu.</t>
        </is>
      </c>
      <c r="K17" s="29">
        <f>IF(AND(MIN(D17:G17)&lt;I17,J17=""),"DOPLNIT ZDŮVODNĚNÍ","OK")</f>
        <v/>
      </c>
    </row>
    <row r="18">
      <c r="A18" s="16" t="inlineStr">
        <is>
          <t>Dodavatel C</t>
        </is>
      </c>
      <c r="B18" s="16" t="inlineStr">
        <is>
          <t>FS 3</t>
        </is>
      </c>
      <c r="C18" s="17" t="inlineStr">
        <is>
          <t>Návrh cílové architektury (hosting, DB, HA/DR, sizing)</t>
        </is>
      </c>
      <c r="D18" s="18" t="n">
        <v>8</v>
      </c>
      <c r="E18" s="18" t="n">
        <v>7</v>
      </c>
      <c r="F18" s="18" t="n">
        <v>8</v>
      </c>
      <c r="G18" s="18" t="n">
        <v>8</v>
      </c>
      <c r="H18" s="28">
        <f>AVERAGE(D18:G18)</f>
        <v/>
      </c>
      <c r="I18" s="28">
        <f>AVERAGE(D6:G6,D12:G12,D18:G18)</f>
        <v/>
      </c>
      <c r="J18" s="17" t="inlineStr">
        <is>
          <t>Architektura počítá se sdílenou multi-tenant platformou, privátní instance jen jako příplatková varianta.</t>
        </is>
      </c>
      <c r="K18" s="29">
        <f>IF(AND(MIN(D18:G18)&lt;I18,J18=""),"DOPLNIT ZDŮVODNĚNÍ","OK")</f>
        <v/>
      </c>
    </row>
    <row r="19">
      <c r="A19" s="16" t="inlineStr">
        <is>
          <t>Dodavatel C</t>
        </is>
      </c>
      <c r="B19" s="16" t="inlineStr">
        <is>
          <t>FS 4</t>
        </is>
      </c>
      <c r="C19" s="17" t="inlineStr">
        <is>
          <t>Bezpečnostní koncept (role, šifrování, logování, zranitelnosti, pentesty)</t>
        </is>
      </c>
      <c r="D19" s="18" t="n">
        <v>7</v>
      </c>
      <c r="E19" s="18" t="n">
        <v>6</v>
      </c>
      <c r="F19" s="18" t="n">
        <v>7</v>
      </c>
      <c r="G19" s="18" t="n">
        <v>7</v>
      </c>
      <c r="H19" s="28">
        <f>AVERAGE(D19:G19)</f>
        <v/>
      </c>
      <c r="I19" s="28">
        <f>AVERAGE(D7:G7,D13:G13,D19:G19)</f>
        <v/>
      </c>
      <c r="J19" s="17" t="inlineStr">
        <is>
          <t>Privilegovaný přístup podpory z třetí země není řešen přes PAM Banky.</t>
        </is>
      </c>
      <c r="K19" s="29">
        <f>IF(AND(MIN(D19:G19)&lt;I19,J19=""),"DOPLNIT ZDŮVODNĚNÍ","OK")</f>
        <v/>
      </c>
    </row>
    <row r="20">
      <c r="A20" s="16" t="inlineStr">
        <is>
          <t>Dodavatel C</t>
        </is>
      </c>
      <c r="B20" s="16" t="inlineStr">
        <is>
          <t>FS 5</t>
        </is>
      </c>
      <c r="C20" s="17" t="inlineStr">
        <is>
          <t>Řešení kritických integrací (CRM, core přes Kafka, platby, DWH)</t>
        </is>
      </c>
      <c r="D20" s="18" t="n">
        <v>8</v>
      </c>
      <c r="E20" s="18" t="n">
        <v>7</v>
      </c>
      <c r="F20" s="18" t="n">
        <v>8</v>
      </c>
      <c r="G20" s="18" t="n">
        <v>8</v>
      </c>
      <c r="H20" s="28">
        <f>AVERAGE(D20:G20)</f>
        <v/>
      </c>
      <c r="I20" s="28">
        <f>AVERAGE(D8:G8,D14:G14,D20:G20)</f>
        <v/>
      </c>
      <c r="J20" s="17" t="inlineStr">
        <is>
          <t>Integrace na CRM popsána obecně přes standardní konektor, chybí řešení událostí pro změny stavu klienta.</t>
        </is>
      </c>
      <c r="K20" s="29">
        <f>IF(AND(MIN(D20:G20)&lt;I20,J20=""),"DOPLNIT ZDŮVODNĚNÍ","OK")</f>
        <v/>
      </c>
    </row>
    <row r="21">
      <c r="A21" s="16" t="inlineStr">
        <is>
          <t>Dodavatel C</t>
        </is>
      </c>
      <c r="B21" s="16" t="inlineStr">
        <is>
          <t>FS 6.6</t>
        </is>
      </c>
      <c r="C21" s="17" t="inlineStr">
        <is>
          <t>Řešení custom požadavků</t>
        </is>
      </c>
      <c r="D21" s="18" t="n">
        <v>8</v>
      </c>
      <c r="E21" s="18" t="n">
        <v>8</v>
      </c>
      <c r="F21" s="18" t="n">
        <v>8</v>
      </c>
      <c r="G21" s="18" t="n">
        <v>8</v>
      </c>
      <c r="H21" s="28">
        <f>AVERAGE(D21:G21)</f>
        <v/>
      </c>
      <c r="I21" s="28">
        <f>AVERAGE(D9:G9,D15:G15,D21:G21)</f>
        <v/>
      </c>
      <c r="J21" s="17" t="inlineStr"/>
      <c r="K21" s="29">
        <f>IF(AND(MIN(D21:G21)&lt;I21,J21=""),"DOPLNIT ZDŮVODNĚNÍ","OK")</f>
        <v/>
      </c>
    </row>
    <row r="22">
      <c r="A22" s="16" t="inlineStr">
        <is>
          <t>Dodavatel C</t>
        </is>
      </c>
      <c r="B22" s="16" t="inlineStr">
        <is>
          <t>FS 7</t>
        </is>
      </c>
      <c r="C22" s="17" t="inlineStr">
        <is>
          <t>Plán implementace a migrace bez výpadku</t>
        </is>
      </c>
      <c r="D22" s="18" t="n">
        <v>7</v>
      </c>
      <c r="E22" s="18" t="n">
        <v>7</v>
      </c>
      <c r="F22" s="18" t="n">
        <v>7</v>
      </c>
      <c r="G22" s="18" t="n">
        <v>7</v>
      </c>
      <c r="H22" s="28">
        <f>AVERAGE(D22:G22)</f>
        <v/>
      </c>
      <c r="I22" s="28">
        <f>AVERAGE(D10:G10,D16:G16,D22:G22)</f>
        <v/>
      </c>
      <c r="J22" s="17" t="inlineStr">
        <is>
          <t>Migrace historie screeningu jen za 5 let, zbytek jako archiv v PDF – nesplňuje § 16 AML zákona.</t>
        </is>
      </c>
      <c r="K22" s="29">
        <f>IF(AND(MIN(D22:G22)&lt;I22,J22=""),"DOPLNIT ZDŮVODNĚNÍ","OK")</f>
        <v/>
      </c>
    </row>
    <row r="23">
      <c r="A23" s="16" t="inlineStr">
        <is>
          <t>Dodavatel C</t>
        </is>
      </c>
      <c r="B23" s="16" t="inlineStr">
        <is>
          <t>FS 9–10</t>
        </is>
      </c>
      <c r="C23" s="17" t="inlineStr">
        <is>
          <t>Regulatorní soulad, auditovatelnost a exit strategie</t>
        </is>
      </c>
      <c r="D23" s="18" t="n">
        <v>5</v>
      </c>
      <c r="E23" s="18" t="n">
        <v>4</v>
      </c>
      <c r="F23" s="18" t="n">
        <v>5</v>
      </c>
      <c r="G23" s="18" t="n">
        <v>4</v>
      </c>
      <c r="H23" s="28">
        <f>AVERAGE(D23:G23)</f>
        <v/>
      </c>
      <c r="I23" s="28">
        <f>AVERAGE(D11:G11,D17:G17,D23:G23)</f>
        <v/>
      </c>
      <c r="J23" s="17" t="inlineStr">
        <is>
          <t>Zálohy mimo EU/EHP a nejasné subdodavatelské řetězení podpory; exit bez exportu konfigurace.</t>
        </is>
      </c>
      <c r="K23" s="29">
        <f>IF(AND(MIN(D23:G23)&lt;I23,J23=""),"DOPLNIT ZDŮVODNĚNÍ","OK")</f>
        <v/>
      </c>
    </row>
    <row r="25">
      <c r="A25" s="4" t="inlineStr">
        <is>
          <t>Výsledek</t>
        </is>
      </c>
    </row>
    <row r="26">
      <c r="A26" s="10" t="inlineStr">
        <is>
          <t>Dodavatel</t>
        </is>
      </c>
      <c r="B26" s="10" t="inlineStr">
        <is>
          <t>Průměrná známka</t>
        </is>
      </c>
      <c r="C26" s="10" t="inlineStr">
        <is>
          <t>Body (max. 20)</t>
        </is>
      </c>
    </row>
    <row r="27">
      <c r="A27" t="inlineStr">
        <is>
          <t>Dodavatel A</t>
        </is>
      </c>
      <c r="B27" s="30">
        <f>AVERAGE(H6:H11)</f>
        <v/>
      </c>
      <c r="C27" s="31">
        <f>B27/10*Parametry!$B$8*100</f>
        <v/>
      </c>
    </row>
    <row r="28">
      <c r="A28" t="inlineStr">
        <is>
          <t>Dodavatel B</t>
        </is>
      </c>
      <c r="B28" s="30">
        <f>AVERAGE(H12:H17)</f>
        <v/>
      </c>
      <c r="C28" s="31">
        <f>B28/10*Parametry!$B$8*100</f>
        <v/>
      </c>
    </row>
    <row r="29">
      <c r="A29" t="inlineStr">
        <is>
          <t>Dodavatel C</t>
        </is>
      </c>
      <c r="B29" s="30">
        <f>AVERAGE(H18:H23)</f>
        <v/>
      </c>
      <c r="C29" s="31">
        <f>B29/10*Parametry!$B$8*100</f>
        <v/>
      </c>
    </row>
  </sheetData>
  <conditionalFormatting sqref="K6:K23">
    <cfRule type="cellIs" priority="1" operator="equal" dxfId="0">
      <formula>"DOPLNIT ZDŮVODNĚNÍ"</formula>
    </cfRule>
  </conditionalFormatting>
  <dataValidations count="1">
    <dataValidation sqref="D6:G23" showDropDown="0" showInputMessage="0" showErrorMessage="0" allowBlank="1" errorTitle="Neplatná hodnota" error="Vyberte hodnotu ze seznamu." type="list">
      <formula1>"0,1,2,3,4,5,6,7,8,9,10"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52" customWidth="1" min="3" max="3"/>
    <col width="12" customWidth="1" min="4" max="4"/>
    <col width="12" customWidth="1" min="5" max="5"/>
    <col width="12" customWidth="1" min="6" max="6"/>
    <col width="12" customWidth="1" min="7" max="7"/>
    <col width="9" customWidth="1" min="8" max="8"/>
    <col width="10" customWidth="1" min="9" max="9"/>
    <col width="60" customWidth="1" min="10" max="10"/>
    <col width="16" customWidth="1" min="11" max="11"/>
  </cols>
  <sheetData>
    <row r="1">
      <c r="A1" s="1" t="inlineStr">
        <is>
          <t>4 – Delivery a zkušenosti (10 %), škála 0–10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 ht="42" customHeight="1">
      <c r="A5" s="10" t="inlineStr">
        <is>
          <t>Dodavatel</t>
        </is>
      </c>
      <c r="B5" s="10" t="inlineStr">
        <is>
          <t>Kritérium</t>
        </is>
      </c>
      <c r="C5" s="10" t="inlineStr">
        <is>
          <t>Popis</t>
        </is>
      </c>
      <c r="D5" s="15" t="inlineStr">
        <is>
          <t>Ing. Jana Novotná</t>
        </is>
      </c>
      <c r="E5" s="15" t="inlineStr">
        <is>
          <t>Ing. Martin Dvořák</t>
        </is>
      </c>
      <c r="F5" s="15" t="inlineStr">
        <is>
          <t>Mgr. Tomáš Svoboda</t>
        </is>
      </c>
      <c r="G5" s="15" t="inlineStr">
        <is>
          <t>JUDr. Lucie Malá</t>
        </is>
      </c>
      <c r="H5" s="21" t="inlineStr">
        <is>
          <t>Průměr</t>
        </is>
      </c>
      <c r="I5" s="21" t="inlineStr">
        <is>
          <t>Průměr kritéria</t>
        </is>
      </c>
      <c r="J5" s="15" t="inlineStr">
        <is>
          <t>Zdůvodnění</t>
        </is>
      </c>
      <c r="K5" s="21" t="inlineStr">
        <is>
          <t>Kontrola</t>
        </is>
      </c>
    </row>
    <row r="6">
      <c r="A6" s="16" t="inlineStr">
        <is>
          <t>Dodavatel A</t>
        </is>
      </c>
      <c r="B6" s="16" t="inlineStr">
        <is>
          <t>D1</t>
        </is>
      </c>
      <c r="C6" s="17" t="inlineStr">
        <is>
          <t>Reference z finančního sektoru (min. 2 banky v EU s AML řešením v produkci)</t>
        </is>
      </c>
      <c r="D6" s="18" t="n">
        <v>9</v>
      </c>
      <c r="E6" s="18" t="n">
        <v>8</v>
      </c>
      <c r="F6" s="18" t="n">
        <v>8</v>
      </c>
      <c r="G6" s="18" t="n">
        <v>9</v>
      </c>
      <c r="H6" s="28">
        <f>AVERAGE(D6:G6)</f>
        <v/>
      </c>
      <c r="I6" s="28">
        <f>AVERAGE(D6:G6,D10:G10,D14:G14)</f>
        <v/>
      </c>
      <c r="J6" s="17" t="inlineStr">
        <is>
          <t>Dvě reference z bank v EU, ale žádná z ČR – chybí přímá zkušenost s požadavky ČNB a FAÚ.</t>
        </is>
      </c>
      <c r="K6" s="29">
        <f>IF(AND(MIN(D6:G6)&lt;I6,J6=""),"DOPLNIT ZDŮVODNĚNÍ","OK")</f>
        <v/>
      </c>
    </row>
    <row r="7">
      <c r="A7" s="16" t="inlineStr">
        <is>
          <t>Dodavatel A</t>
        </is>
      </c>
      <c r="B7" s="16" t="inlineStr">
        <is>
          <t>D2</t>
        </is>
      </c>
      <c r="C7" s="17" t="inlineStr">
        <is>
          <t>Seniorita klíčových osob (CV: PM, architekt, AML konzultant, vedoucí migrace)</t>
        </is>
      </c>
      <c r="D7" s="18" t="n">
        <v>8</v>
      </c>
      <c r="E7" s="18" t="n">
        <v>8</v>
      </c>
      <c r="F7" s="18" t="n">
        <v>7</v>
      </c>
      <c r="G7" s="18" t="n">
        <v>8</v>
      </c>
      <c r="H7" s="28">
        <f>AVERAGE(D7:G7)</f>
        <v/>
      </c>
      <c r="I7" s="28">
        <f>AVERAGE(D7:G7,D11:G11,D15:G15)</f>
        <v/>
      </c>
      <c r="J7" s="17" t="inlineStr">
        <is>
          <t>Vedoucí migrace má méně než 3 roky praxe s migrací AML dat.</t>
        </is>
      </c>
      <c r="K7" s="29">
        <f>IF(AND(MIN(D7:G7)&lt;I7,J7=""),"DOPLNIT ZDŮVODNĚNÍ","OK")</f>
        <v/>
      </c>
    </row>
    <row r="8">
      <c r="A8" s="16" t="inlineStr">
        <is>
          <t>Dodavatel A</t>
        </is>
      </c>
      <c r="B8" s="16" t="inlineStr">
        <is>
          <t>D3</t>
        </is>
      </c>
      <c r="C8" s="17" t="inlineStr">
        <is>
          <t>Návrh SLA a podpory vs. Příloha 4 (odchylky, sankce, RCA)</t>
        </is>
      </c>
      <c r="D8" s="18" t="n">
        <v>7</v>
      </c>
      <c r="E8" s="18" t="n">
        <v>7</v>
      </c>
      <c r="F8" s="18" t="n">
        <v>8</v>
      </c>
      <c r="G8" s="18" t="n">
        <v>7</v>
      </c>
      <c r="H8" s="28">
        <f>AVERAGE(D8:G8)</f>
        <v/>
      </c>
      <c r="I8" s="28">
        <f>AVERAGE(D8:G8,D12:G12,D16:G16)</f>
        <v/>
      </c>
      <c r="J8" s="17" t="inlineStr">
        <is>
          <t>Navrhuje cap sankcí 15 % ročního poplatku, Banka požaduje min. 30 %.</t>
        </is>
      </c>
      <c r="K8" s="29">
        <f>IF(AND(MIN(D8:G8)&lt;I8,J8=""),"DOPLNIT ZDŮVODNĚNÍ","OK")</f>
        <v/>
      </c>
    </row>
    <row r="9">
      <c r="A9" s="16" t="inlineStr">
        <is>
          <t>Dodavatel A</t>
        </is>
      </c>
      <c r="B9" s="16" t="inlineStr">
        <is>
          <t>D4</t>
        </is>
      </c>
      <c r="C9" s="17" t="inlineStr">
        <is>
          <t>Realističnost projektového plánu a kapacit</t>
        </is>
      </c>
      <c r="D9" s="18" t="n">
        <v>8</v>
      </c>
      <c r="E9" s="18" t="n">
        <v>8</v>
      </c>
      <c r="F9" s="18" t="n">
        <v>8</v>
      </c>
      <c r="G9" s="18" t="n">
        <v>8</v>
      </c>
      <c r="H9" s="28">
        <f>AVERAGE(D9:G9)</f>
        <v/>
      </c>
      <c r="I9" s="28">
        <f>AVERAGE(D9:G9,D13:G13,D17:G17)</f>
        <v/>
      </c>
      <c r="J9" s="17" t="inlineStr"/>
      <c r="K9" s="29">
        <f>IF(AND(MIN(D9:G9)&lt;I9,J9=""),"DOPLNIT ZDŮVODNĚNÍ","OK")</f>
        <v/>
      </c>
    </row>
    <row r="10">
      <c r="A10" s="16" t="inlineStr">
        <is>
          <t>Dodavatel B</t>
        </is>
      </c>
      <c r="B10" s="16" t="inlineStr">
        <is>
          <t>D1</t>
        </is>
      </c>
      <c r="C10" s="17" t="inlineStr">
        <is>
          <t>Reference z finančního sektoru (min. 2 banky v EU s AML řešením v produkci)</t>
        </is>
      </c>
      <c r="D10" s="18" t="n">
        <v>8</v>
      </c>
      <c r="E10" s="18" t="n">
        <v>8</v>
      </c>
      <c r="F10" s="18" t="n">
        <v>8</v>
      </c>
      <c r="G10" s="18" t="n">
        <v>8</v>
      </c>
      <c r="H10" s="28">
        <f>AVERAGE(D10:G10)</f>
        <v/>
      </c>
      <c r="I10" s="28">
        <f>AVERAGE(D6:G6,D10:G10,D14:G14)</f>
        <v/>
      </c>
      <c r="J10" s="17" t="inlineStr">
        <is>
          <t>Reference pouze z retailových bank, žádná z privátního bankovnictví.</t>
        </is>
      </c>
      <c r="K10" s="29">
        <f>IF(AND(MIN(D10:G10)&lt;I10,J10=""),"DOPLNIT ZDŮVODNĚNÍ","OK")</f>
        <v/>
      </c>
    </row>
    <row r="11">
      <c r="A11" s="16" t="inlineStr">
        <is>
          <t>Dodavatel B</t>
        </is>
      </c>
      <c r="B11" s="16" t="inlineStr">
        <is>
          <t>D2</t>
        </is>
      </c>
      <c r="C11" s="17" t="inlineStr">
        <is>
          <t>Seniorita klíčových osob (CV: PM, architekt, AML konzultant, vedoucí migrace)</t>
        </is>
      </c>
      <c r="D11" s="18" t="n">
        <v>7</v>
      </c>
      <c r="E11" s="18" t="n">
        <v>7</v>
      </c>
      <c r="F11" s="18" t="n">
        <v>7</v>
      </c>
      <c r="G11" s="18" t="n">
        <v>8</v>
      </c>
      <c r="H11" s="28">
        <f>AVERAGE(D11:G11)</f>
        <v/>
      </c>
      <c r="I11" s="28">
        <f>AVERAGE(D7:G7,D11:G11,D15:G15)</f>
        <v/>
      </c>
      <c r="J11" s="17" t="inlineStr">
        <is>
          <t>Navržený solution architekt nemá zkušenost s integrací přes Kafka.</t>
        </is>
      </c>
      <c r="K11" s="29">
        <f>IF(AND(MIN(D11:G11)&lt;I11,J11=""),"DOPLNIT ZDŮVODNĚNÍ","OK")</f>
        <v/>
      </c>
    </row>
    <row r="12">
      <c r="A12" s="16" t="inlineStr">
        <is>
          <t>Dodavatel B</t>
        </is>
      </c>
      <c r="B12" s="16" t="inlineStr">
        <is>
          <t>D3</t>
        </is>
      </c>
      <c r="C12" s="17" t="inlineStr">
        <is>
          <t>Návrh SLA a podpory vs. Příloha 4 (odchylky, sankce, RCA)</t>
        </is>
      </c>
      <c r="D12" s="18" t="n">
        <v>8</v>
      </c>
      <c r="E12" s="18" t="n">
        <v>8</v>
      </c>
      <c r="F12" s="18" t="n">
        <v>7</v>
      </c>
      <c r="G12" s="18" t="n">
        <v>8</v>
      </c>
      <c r="H12" s="28">
        <f>AVERAGE(D12:G12)</f>
        <v/>
      </c>
      <c r="I12" s="28">
        <f>AVERAGE(D8:G8,D12:G12,D16:G16)</f>
        <v/>
      </c>
      <c r="J12" s="17" t="inlineStr"/>
      <c r="K12" s="29">
        <f>IF(AND(MIN(D12:G12)&lt;I12,J12=""),"DOPLNIT ZDŮVODNĚNÍ","OK")</f>
        <v/>
      </c>
    </row>
    <row r="13">
      <c r="A13" s="16" t="inlineStr">
        <is>
          <t>Dodavatel B</t>
        </is>
      </c>
      <c r="B13" s="16" t="inlineStr">
        <is>
          <t>D4</t>
        </is>
      </c>
      <c r="C13" s="17" t="inlineStr">
        <is>
          <t>Realističnost projektového plánu a kapacit</t>
        </is>
      </c>
      <c r="D13" s="18" t="n">
        <v>6</v>
      </c>
      <c r="E13" s="18" t="n">
        <v>7</v>
      </c>
      <c r="F13" s="18" t="n">
        <v>6</v>
      </c>
      <c r="G13" s="18" t="n">
        <v>6</v>
      </c>
      <c r="H13" s="28">
        <f>AVERAGE(D13:G13)</f>
        <v/>
      </c>
      <c r="I13" s="28">
        <f>AVERAGE(D9:G9,D13:G13,D17:G17)</f>
        <v/>
      </c>
      <c r="J13" s="17" t="inlineStr">
        <is>
          <t>Plán počítá s paralelním provozem jen 2 týdny místo požadovaných 4.</t>
        </is>
      </c>
      <c r="K13" s="29">
        <f>IF(AND(MIN(D13:G13)&lt;I13,J13=""),"DOPLNIT ZDŮVODNĚNÍ","OK")</f>
        <v/>
      </c>
    </row>
    <row r="14">
      <c r="A14" s="16" t="inlineStr">
        <is>
          <t>Dodavatel C</t>
        </is>
      </c>
      <c r="B14" s="16" t="inlineStr">
        <is>
          <t>D1</t>
        </is>
      </c>
      <c r="C14" s="17" t="inlineStr">
        <is>
          <t>Reference z finančního sektoru (min. 2 banky v EU s AML řešením v produkci)</t>
        </is>
      </c>
      <c r="D14" s="18" t="n">
        <v>9</v>
      </c>
      <c r="E14" s="18" t="n">
        <v>9</v>
      </c>
      <c r="F14" s="18" t="n">
        <v>8</v>
      </c>
      <c r="G14" s="18" t="n">
        <v>9</v>
      </c>
      <c r="H14" s="28">
        <f>AVERAGE(D14:G14)</f>
        <v/>
      </c>
      <c r="I14" s="28">
        <f>AVERAGE(D6:G6,D10:G10,D14:G14)</f>
        <v/>
      </c>
      <c r="J14" s="17" t="inlineStr">
        <is>
          <t>Jedna ze dvou referencí je platební instituce, nikoli banka.</t>
        </is>
      </c>
      <c r="K14" s="29">
        <f>IF(AND(MIN(D14:G14)&lt;I14,J14=""),"DOPLNIT ZDŮVODNĚNÍ","OK")</f>
        <v/>
      </c>
    </row>
    <row r="15">
      <c r="A15" s="16" t="inlineStr">
        <is>
          <t>Dodavatel C</t>
        </is>
      </c>
      <c r="B15" s="16" t="inlineStr">
        <is>
          <t>D2</t>
        </is>
      </c>
      <c r="C15" s="17" t="inlineStr">
        <is>
          <t>Seniorita klíčových osob (CV: PM, architekt, AML konzultant, vedoucí migrace)</t>
        </is>
      </c>
      <c r="D15" s="18" t="n">
        <v>7</v>
      </c>
      <c r="E15" s="18" t="n">
        <v>7</v>
      </c>
      <c r="F15" s="18" t="n">
        <v>7</v>
      </c>
      <c r="G15" s="18" t="n">
        <v>7</v>
      </c>
      <c r="H15" s="28">
        <f>AVERAGE(D15:G15)</f>
        <v/>
      </c>
      <c r="I15" s="28">
        <f>AVERAGE(D7:G7,D11:G11,D15:G15)</f>
        <v/>
      </c>
      <c r="J15" s="17" t="inlineStr">
        <is>
          <t>CV dvou klíčových osob jsou od subdodavatele a neodpovídají týmu v projektovém plánu.</t>
        </is>
      </c>
      <c r="K15" s="29">
        <f>IF(AND(MIN(D15:G15)&lt;I15,J15=""),"DOPLNIT ZDŮVODNĚNÍ","OK")</f>
        <v/>
      </c>
    </row>
    <row r="16">
      <c r="A16" s="16" t="inlineStr">
        <is>
          <t>Dodavatel C</t>
        </is>
      </c>
      <c r="B16" s="16" t="inlineStr">
        <is>
          <t>D3</t>
        </is>
      </c>
      <c r="C16" s="17" t="inlineStr">
        <is>
          <t>Návrh SLA a podpory vs. Příloha 4 (odchylky, sankce, RCA)</t>
        </is>
      </c>
      <c r="D16" s="18" t="n">
        <v>5</v>
      </c>
      <c r="E16" s="18" t="n">
        <v>5</v>
      </c>
      <c r="F16" s="18" t="n">
        <v>4</v>
      </c>
      <c r="G16" s="18" t="n">
        <v>5</v>
      </c>
      <c r="H16" s="28">
        <f>AVERAGE(D16:G16)</f>
        <v/>
      </c>
      <c r="I16" s="28">
        <f>AVERAGE(D8:G8,D12:G12,D16:G16)</f>
        <v/>
      </c>
      <c r="J16" s="17" t="inlineStr">
        <is>
          <t>SLA měří dostupnost infrastruktury, ne byznys transakcí; cap sankcí 5 % ročního poplatku.</t>
        </is>
      </c>
      <c r="K16" s="29">
        <f>IF(AND(MIN(D16:G16)&lt;I16,J16=""),"DOPLNIT ZDŮVODNĚNÍ","OK")</f>
        <v/>
      </c>
    </row>
    <row r="17">
      <c r="A17" s="16" t="inlineStr">
        <is>
          <t>Dodavatel C</t>
        </is>
      </c>
      <c r="B17" s="16" t="inlineStr">
        <is>
          <t>D4</t>
        </is>
      </c>
      <c r="C17" s="17" t="inlineStr">
        <is>
          <t>Realističnost projektového plánu a kapacit</t>
        </is>
      </c>
      <c r="D17" s="18" t="n">
        <v>7</v>
      </c>
      <c r="E17" s="18" t="n">
        <v>7</v>
      </c>
      <c r="F17" s="18" t="n">
        <v>7</v>
      </c>
      <c r="G17" s="18" t="n">
        <v>7</v>
      </c>
      <c r="H17" s="28">
        <f>AVERAGE(D17:G17)</f>
        <v/>
      </c>
      <c r="I17" s="28">
        <f>AVERAGE(D9:G9,D13:G13,D17:G17)</f>
        <v/>
      </c>
      <c r="J17" s="17" t="inlineStr">
        <is>
          <t>Plán nemá rezervu na UAT obchodu ani na opakované zkušební migrace.</t>
        </is>
      </c>
      <c r="K17" s="29">
        <f>IF(AND(MIN(D17:G17)&lt;I17,J17=""),"DOPLNIT ZDŮVODNĚNÍ","OK")</f>
        <v/>
      </c>
    </row>
    <row r="20">
      <c r="A20" s="10" t="inlineStr">
        <is>
          <t>Dodavatel</t>
        </is>
      </c>
      <c r="B20" s="10" t="inlineStr">
        <is>
          <t>Průměrná známka</t>
        </is>
      </c>
      <c r="C20" s="10" t="inlineStr">
        <is>
          <t>Body (max. 10)</t>
        </is>
      </c>
    </row>
    <row r="21">
      <c r="A21" t="inlineStr">
        <is>
          <t>Dodavatel A</t>
        </is>
      </c>
      <c r="B21" s="30">
        <f>AVERAGE(H6:H9)</f>
        <v/>
      </c>
      <c r="C21" s="31">
        <f>B21/10*Parametry!$B$9*100</f>
        <v/>
      </c>
    </row>
    <row r="22">
      <c r="A22" t="inlineStr">
        <is>
          <t>Dodavatel B</t>
        </is>
      </c>
      <c r="B22" s="30">
        <f>AVERAGE(H10:H13)</f>
        <v/>
      </c>
      <c r="C22" s="31">
        <f>B22/10*Parametry!$B$9*100</f>
        <v/>
      </c>
    </row>
    <row r="23">
      <c r="A23" t="inlineStr">
        <is>
          <t>Dodavatel C</t>
        </is>
      </c>
      <c r="B23" s="30">
        <f>AVERAGE(H14:H17)</f>
        <v/>
      </c>
      <c r="C23" s="31">
        <f>B23/10*Parametry!$B$9*100</f>
        <v/>
      </c>
    </row>
  </sheetData>
  <conditionalFormatting sqref="K6:K17">
    <cfRule type="cellIs" priority="1" operator="equal" dxfId="0">
      <formula>"DOPLNIT ZDŮVODNĚNÍ"</formula>
    </cfRule>
  </conditionalFormatting>
  <dataValidations count="1">
    <dataValidation sqref="D6:G17" showDropDown="0" showInputMessage="0" showErrorMessage="0" allowBlank="1" errorTitle="Neplatná hodnota" error="Vyberte hodnotu ze seznamu." type="list">
      <formula1>"0,1,2,3,4,5,6,7,8,9,10"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14" customWidth="1" min="5" max="5"/>
    <col width="60" customWidth="1" min="6" max="6"/>
  </cols>
  <sheetData>
    <row r="1">
      <c r="A1" s="1" t="inlineStr">
        <is>
          <t>5 – Cena (40 %): TCO na 5 let z Přílohy 3 (po BAFO)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0" t="inlineStr">
        <is>
          <t>Dodavatel</t>
        </is>
      </c>
      <c r="B5" s="20" t="inlineStr">
        <is>
          <t>TCO 5 let (Kč bez DPH)</t>
        </is>
      </c>
      <c r="C5" s="21" t="inlineStr">
        <is>
          <t>Stav K.O. brány</t>
        </is>
      </c>
      <c r="D5" s="21" t="inlineStr">
        <is>
          <t>TCO do výpočtu</t>
        </is>
      </c>
      <c r="E5" s="21" t="inlineStr">
        <is>
          <t>Body (max. 40)</t>
        </is>
      </c>
      <c r="F5" s="10" t="inlineStr">
        <is>
          <t>Poznámka</t>
        </is>
      </c>
    </row>
    <row r="6">
      <c r="A6" s="16" t="inlineStr">
        <is>
          <t>Dodavatel A</t>
        </is>
      </c>
      <c r="B6" s="32" t="n">
        <v>52400000</v>
      </c>
      <c r="C6" s="29">
        <f>'1_KO_brana'!D17</f>
        <v/>
      </c>
      <c r="D6" s="33">
        <f>IF(C6="POSTUPUJE",B6,"")</f>
        <v/>
      </c>
      <c r="E6" s="34">
        <f>IF(D6="","",MIN($D$6:$D$8)/D6*Parametry!$B$6*100)</f>
        <v/>
      </c>
      <c r="F6" s="17" t="inlineStr">
        <is>
          <t>Po BAFO sleva 6 % na licence; datové feedy PEP oceněny na 5 let.</t>
        </is>
      </c>
    </row>
    <row r="7">
      <c r="A7" s="16" t="inlineStr">
        <is>
          <t>Dodavatel B</t>
        </is>
      </c>
      <c r="B7" s="32" t="n">
        <v>41900000</v>
      </c>
      <c r="C7" s="29">
        <f>'1_KO_brana'!E17</f>
        <v/>
      </c>
      <c r="D7" s="33">
        <f>IF(C7="POSTUPUJE",B7,"")</f>
        <v/>
      </c>
      <c r="E7" s="34">
        <f>IF(D7="","",MIN($D$6:$D$8)/D7*Parametry!$B$6*100)</f>
        <v/>
      </c>
      <c r="F7" s="17" t="inlineStr">
        <is>
          <t>Nízká cena licence; 24 požadavků jako Custom vývoj zvyšuje riziko víceprací.</t>
        </is>
      </c>
    </row>
    <row r="8">
      <c r="A8" s="16" t="inlineStr">
        <is>
          <t>Dodavatel C</t>
        </is>
      </c>
      <c r="B8" s="32" t="n">
        <v>46300000</v>
      </c>
      <c r="C8" s="29">
        <f>'1_KO_brana'!F17</f>
        <v/>
      </c>
      <c r="D8" s="33">
        <f>IF(C8="POSTUPUJE",B8,"")</f>
        <v/>
      </c>
      <c r="E8" s="34">
        <f>IF(D8="","",MIN($D$6:$D$8)/D8*Parametry!$B$6*100)</f>
        <v/>
      </c>
      <c r="F8" s="17" t="inlineStr">
        <is>
          <t>Vyřazen v K.O. bráně – cena se nehodnotí.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3" customWidth="1" min="5" max="5"/>
    <col width="12" customWidth="1" min="6" max="6"/>
    <col width="13" customWidth="1" min="7" max="7"/>
    <col width="9" customWidth="1" min="8" max="8"/>
  </cols>
  <sheetData>
    <row r="1">
      <c r="A1" s="1" t="inlineStr">
        <is>
          <t>Výsledek hodnocení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0" t="inlineStr">
        <is>
          <t>Dodavatel</t>
        </is>
      </c>
      <c r="B5" s="10" t="inlineStr">
        <is>
          <t>K.O. brána</t>
        </is>
      </c>
      <c r="C5" s="10" t="inlineStr">
        <is>
          <t>Cena (40)</t>
        </is>
      </c>
      <c r="D5" s="10" t="inlineStr">
        <is>
          <t>Byznys (30)</t>
        </is>
      </c>
      <c r="E5" s="10" t="inlineStr">
        <is>
          <t>Arch &amp; Sec (20)</t>
        </is>
      </c>
      <c r="F5" s="10" t="inlineStr">
        <is>
          <t>Delivery (10)</t>
        </is>
      </c>
      <c r="G5" s="10" t="inlineStr">
        <is>
          <t>Celkem (100)</t>
        </is>
      </c>
      <c r="H5" s="10" t="inlineStr">
        <is>
          <t>Pořadí</t>
        </is>
      </c>
    </row>
    <row r="6">
      <c r="A6" s="19" t="inlineStr">
        <is>
          <t>Dodavatel A</t>
        </is>
      </c>
      <c r="B6" s="22">
        <f>'1_KO_brana'!D17</f>
        <v/>
      </c>
      <c r="C6" s="35">
        <f>IF(B6="POSTUPUJE",'5_Cena'!E6,"")</f>
        <v/>
      </c>
      <c r="D6" s="35">
        <f>IF(B6="POSTUPUJE",'2_Byznys'!H52,"")</f>
        <v/>
      </c>
      <c r="E6" s="35">
        <f>IF(B6="POSTUPUJE",'3_Arch_Sec'!C27,"")</f>
        <v/>
      </c>
      <c r="F6" s="35">
        <f>IF(B6="POSTUPUJE",'4_Delivery'!C21,"")</f>
        <v/>
      </c>
      <c r="G6" s="36">
        <f>IF(B6="POSTUPUJE",SUM(C6:F6),"vyřazen")</f>
        <v/>
      </c>
      <c r="H6" s="22">
        <f>IF(ISNUMBER(G6),RANK(G6,$G$6:$G$8),"–")</f>
        <v/>
      </c>
    </row>
    <row r="7">
      <c r="A7" s="19" t="inlineStr">
        <is>
          <t>Dodavatel B</t>
        </is>
      </c>
      <c r="B7" s="22">
        <f>'1_KO_brana'!E17</f>
        <v/>
      </c>
      <c r="C7" s="35">
        <f>IF(B7="POSTUPUJE",'5_Cena'!E7,"")</f>
        <v/>
      </c>
      <c r="D7" s="35">
        <f>IF(B7="POSTUPUJE",'2_Byznys'!L52,"")</f>
        <v/>
      </c>
      <c r="E7" s="35">
        <f>IF(B7="POSTUPUJE",'3_Arch_Sec'!C28,"")</f>
        <v/>
      </c>
      <c r="F7" s="35">
        <f>IF(B7="POSTUPUJE",'4_Delivery'!C22,"")</f>
        <v/>
      </c>
      <c r="G7" s="36">
        <f>IF(B7="POSTUPUJE",SUM(C7:F7),"vyřazen")</f>
        <v/>
      </c>
      <c r="H7" s="22">
        <f>IF(ISNUMBER(G7),RANK(G7,$G$6:$G$8),"–")</f>
        <v/>
      </c>
    </row>
    <row r="8">
      <c r="A8" s="19" t="inlineStr">
        <is>
          <t>Dodavatel C</t>
        </is>
      </c>
      <c r="B8" s="22">
        <f>'1_KO_brana'!F17</f>
        <v/>
      </c>
      <c r="C8" s="35">
        <f>IF(B8="POSTUPUJE",'5_Cena'!E8,"")</f>
        <v/>
      </c>
      <c r="D8" s="35">
        <f>IF(B8="POSTUPUJE",'2_Byznys'!P52,"")</f>
        <v/>
      </c>
      <c r="E8" s="35">
        <f>IF(B8="POSTUPUJE",'3_Arch_Sec'!C29,"")</f>
        <v/>
      </c>
      <c r="F8" s="35">
        <f>IF(B8="POSTUPUJE",'4_Delivery'!C23,"")</f>
        <v/>
      </c>
      <c r="G8" s="36">
        <f>IF(B8="POSTUPUJE",SUM(C8:F8),"vyřazen")</f>
        <v/>
      </c>
      <c r="H8" s="22">
        <f>IF(ISNUMBER(G8),RANK(G8,$G$6:$G$8),"–")</f>
        <v/>
      </c>
    </row>
    <row r="10">
      <c r="A10" t="inlineStr">
        <is>
          <t>Citlivost: rozdíl 1. a 2. místa v bodech</t>
        </is>
      </c>
      <c r="G10" s="30">
        <f>LARGE($G$6:$G$8,1)-LARGE($G$6:$G$8,2)</f>
        <v/>
      </c>
    </row>
    <row r="11">
      <c r="A11" s="3" t="inlineStr">
        <is>
          <t>Pravidlo shody bodů: při rozdílu &lt; 1,0 bodu rozhoduje vyšší skóre Arch &amp; Sec; poté nižší TCO.</t>
        </is>
      </c>
    </row>
  </sheetData>
  <conditionalFormatting sqref="H6:H8">
    <cfRule type="cellIs" priority="1" operator="equal" dxfId="1">
      <formula>1</formula>
    </cfRule>
  </conditionalFormatting>
  <conditionalFormatting sqref="B6:B8">
    <cfRule type="cellIs" priority="2" operator="equal" dxfId="0">
      <formula>"VYŘAZEN"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4" customWidth="1" min="3" max="3"/>
    <col width="22" customWidth="1" min="4" max="4"/>
    <col width="22" customWidth="1" min="5" max="5"/>
  </cols>
  <sheetData>
    <row r="1">
      <c r="A1" s="1" t="inlineStr">
        <is>
          <t>Hodnoticí arch – výběrové řízení SENTINEL (k podpisu)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t="inlineStr">
        <is>
          <t>Předmět:</t>
        </is>
      </c>
      <c r="B5" t="inlineStr">
        <is>
          <t>Dodávka, implementace a podpora KYC/AML řešení (screening, KYC, monitoring transakcí, správa případů)</t>
        </is>
      </c>
    </row>
    <row r="6">
      <c r="A6" t="inlineStr">
        <is>
          <t>Datum hodnocení:</t>
        </is>
      </c>
      <c r="B6" t="inlineStr">
        <is>
          <t>2027-02-17</t>
        </is>
      </c>
    </row>
    <row r="7">
      <c r="A7" t="inlineStr">
        <is>
          <t>Počet nabídek:</t>
        </is>
      </c>
      <c r="B7" t="n">
        <v>3</v>
      </c>
    </row>
    <row r="9">
      <c r="A9" s="4" t="inlineStr">
        <is>
          <t>Výsledek</t>
        </is>
      </c>
    </row>
    <row r="10">
      <c r="A10" s="10" t="inlineStr">
        <is>
          <t>Dodavatel</t>
        </is>
      </c>
      <c r="B10" s="10" t="inlineStr">
        <is>
          <t>K.O. brána</t>
        </is>
      </c>
      <c r="C10" s="10" t="inlineStr">
        <is>
          <t>Celkem bodů</t>
        </is>
      </c>
      <c r="D10" s="10" t="inlineStr">
        <is>
          <t>Pořadí</t>
        </is>
      </c>
    </row>
    <row r="11">
      <c r="A11" s="16" t="inlineStr">
        <is>
          <t>Dodavatel A</t>
        </is>
      </c>
      <c r="B11" s="16">
        <f>Vysledek!B6</f>
        <v/>
      </c>
      <c r="C11" s="37">
        <f>Vysledek!G6</f>
        <v/>
      </c>
      <c r="D11" s="16">
        <f>Vysledek!H6</f>
        <v/>
      </c>
    </row>
    <row r="12">
      <c r="A12" s="16" t="inlineStr">
        <is>
          <t>Dodavatel B</t>
        </is>
      </c>
      <c r="B12" s="16">
        <f>Vysledek!B7</f>
        <v/>
      </c>
      <c r="C12" s="37">
        <f>Vysledek!G7</f>
        <v/>
      </c>
      <c r="D12" s="16">
        <f>Vysledek!H7</f>
        <v/>
      </c>
    </row>
    <row r="13">
      <c r="A13" s="16" t="inlineStr">
        <is>
          <t>Dodavatel C</t>
        </is>
      </c>
      <c r="B13" s="16">
        <f>Vysledek!B8</f>
        <v/>
      </c>
      <c r="C13" s="37">
        <f>Vysledek!G8</f>
        <v/>
      </c>
      <c r="D13" s="16">
        <f>Vysledek!H8</f>
        <v/>
      </c>
    </row>
    <row r="15">
      <c r="A15" s="13" t="inlineStr">
        <is>
          <t>Doporučení komise:</t>
        </is>
      </c>
      <c r="B15">
        <f>IFERROR("Doporučujeme zahájit jednání o smlouvě s: "&amp;INDEX(Vysledek!A6:A8,MATCH(1,Vysledek!H6:H8,0)),"")</f>
        <v/>
      </c>
    </row>
    <row r="17">
      <c r="A17" s="13" t="inlineStr">
        <is>
          <t>Zdůvodnění horších známek (výtah z listů 2–4)</t>
        </is>
      </c>
    </row>
    <row r="18" ht="30" customHeight="1">
      <c r="A18" t="inlineStr">
        <is>
          <t>Dodavatel A – D1</t>
        </is>
      </c>
      <c r="B18" s="5" t="inlineStr">
        <is>
          <t>Dvě reference z bank v EU, ale žádná z ČR – chybí přímá zkušenost s požadavky ČNB a FAÚ.</t>
        </is>
      </c>
    </row>
    <row r="19" ht="30" customHeight="1">
      <c r="A19" t="inlineStr">
        <is>
          <t>Dodavatel A – D2</t>
        </is>
      </c>
      <c r="B19" s="5" t="inlineStr">
        <is>
          <t>Vedoucí migrace má méně než 3 roky praxe s migrací AML dat.</t>
        </is>
      </c>
    </row>
    <row r="20" ht="30" customHeight="1">
      <c r="A20" t="inlineStr">
        <is>
          <t>Dodavatel A – D3</t>
        </is>
      </c>
      <c r="B20" s="5" t="inlineStr">
        <is>
          <t>Navrhuje cap sankcí 15 % ročního poplatku, Banka požaduje min. 30 %.</t>
        </is>
      </c>
    </row>
    <row r="21" ht="30" customHeight="1">
      <c r="A21" t="inlineStr">
        <is>
          <t>Dodavatel B – D1</t>
        </is>
      </c>
      <c r="B21" s="5" t="inlineStr">
        <is>
          <t>Reference pouze z retailových bank, žádná z privátního bankovnictví.</t>
        </is>
      </c>
    </row>
    <row r="22" ht="30" customHeight="1">
      <c r="A22" t="inlineStr">
        <is>
          <t>Dodavatel B – D2</t>
        </is>
      </c>
      <c r="B22" s="5" t="inlineStr">
        <is>
          <t>Navržený solution architekt nemá zkušenost s integrací přes Kafka.</t>
        </is>
      </c>
    </row>
    <row r="23" ht="30" customHeight="1">
      <c r="A23" t="inlineStr">
        <is>
          <t>Dodavatel B – D4</t>
        </is>
      </c>
      <c r="B23" s="5" t="inlineStr">
        <is>
          <t>Plán počítá s paralelním provozem jen 2 týdny místo požadovaných 4.</t>
        </is>
      </c>
    </row>
    <row r="24" ht="30" customHeight="1">
      <c r="A24" t="inlineStr">
        <is>
          <t>Dodavatel B – FS 3</t>
        </is>
      </c>
      <c r="B24" s="5" t="inlineStr">
        <is>
          <t>Sizing HW uveden jen pro PROD, chybí PreProd a DR.</t>
        </is>
      </c>
    </row>
    <row r="25" ht="30" customHeight="1">
      <c r="A25" t="inlineStr">
        <is>
          <t>Dodavatel B – FS 4</t>
        </is>
      </c>
      <c r="B25" s="5" t="inlineStr">
        <is>
          <t>Správa šifrovacích klíčů u dodavatele, ne v HSM Banky; chybí harmonogram penetračních testů.</t>
        </is>
      </c>
    </row>
    <row r="26" ht="30" customHeight="1">
      <c r="A26" t="inlineStr">
        <is>
          <t>Dodavatel B – FS 5</t>
        </is>
      </c>
      <c r="B26" s="5" t="inlineStr">
        <is>
          <t>Dodavatel navrhuje point-to-point integraci na core banking namísto požadované bankovní Kafka sběrnice.</t>
        </is>
      </c>
    </row>
    <row r="27" ht="30" customHeight="1">
      <c r="A27" t="inlineStr">
        <is>
          <t>Dodavatel B – FS 6.6</t>
        </is>
      </c>
      <c r="B27" s="5" t="inlineStr">
        <is>
          <t>Custom vývoj popsán obecně bez odhadu pracnosti a dopadu na upgrady.</t>
        </is>
      </c>
    </row>
    <row r="28" ht="30" customHeight="1">
      <c r="A28" t="inlineStr">
        <is>
          <t>Dodavatel B – FS 7</t>
        </is>
      </c>
      <c r="B28" s="5" t="inlineStr">
        <is>
          <t>Paralelní provoz jen 2 týdny a bez popsané rekonciliace historie případů.</t>
        </is>
      </c>
    </row>
    <row r="29" ht="30" customHeight="1">
      <c r="A29" t="inlineStr">
        <is>
          <t>Dodavatel B – FS 9–10</t>
        </is>
      </c>
      <c r="B29" s="5" t="inlineStr">
        <is>
          <t>Exit plán neřeší export auditních stop a historie screeningu.</t>
        </is>
      </c>
    </row>
    <row r="30" ht="30" customHeight="1">
      <c r="A30" t="inlineStr">
        <is>
          <t>Dodavatel C – D1</t>
        </is>
      </c>
      <c r="B30" s="5" t="inlineStr">
        <is>
          <t>Jedna ze dvou referencí je platební instituce, nikoli banka.</t>
        </is>
      </c>
    </row>
    <row r="31" ht="30" customHeight="1">
      <c r="A31" t="inlineStr">
        <is>
          <t>Dodavatel C – D2</t>
        </is>
      </c>
      <c r="B31" s="5" t="inlineStr">
        <is>
          <t>CV dvou klíčových osob jsou od subdodavatele a neodpovídají týmu v projektovém plánu.</t>
        </is>
      </c>
    </row>
    <row r="32" ht="30" customHeight="1">
      <c r="A32" t="inlineStr">
        <is>
          <t>Dodavatel C – D3</t>
        </is>
      </c>
      <c r="B32" s="5" t="inlineStr">
        <is>
          <t>SLA měří dostupnost infrastruktury, ne byznys transakcí; cap sankcí 5 % ročního poplatku.</t>
        </is>
      </c>
    </row>
    <row r="33" ht="30" customHeight="1">
      <c r="A33" t="inlineStr">
        <is>
          <t>Dodavatel C – D4</t>
        </is>
      </c>
      <c r="B33" s="5" t="inlineStr">
        <is>
          <t>Plán nemá rezervu na UAT obchodu ani na opakované zkušební migrace.</t>
        </is>
      </c>
    </row>
    <row r="34" ht="30" customHeight="1">
      <c r="A34" t="inlineStr">
        <is>
          <t>Dodavatel C – FS 3</t>
        </is>
      </c>
      <c r="B34" s="5" t="inlineStr">
        <is>
          <t>Architektura počítá se sdílenou multi-tenant platformou, privátní instance jen jako příplatková varianta.</t>
        </is>
      </c>
    </row>
    <row r="35" ht="30" customHeight="1">
      <c r="A35" t="inlineStr">
        <is>
          <t>Dodavatel C – FS 4</t>
        </is>
      </c>
      <c r="B35" s="5" t="inlineStr">
        <is>
          <t>Privilegovaný přístup podpory z třetí země není řešen přes PAM Banky.</t>
        </is>
      </c>
    </row>
    <row r="36" ht="30" customHeight="1">
      <c r="A36" t="inlineStr">
        <is>
          <t>Dodavatel C – FS 5</t>
        </is>
      </c>
      <c r="B36" s="5" t="inlineStr">
        <is>
          <t>Integrace na CRM popsána obecně přes standardní konektor, chybí řešení událostí pro změny stavu klienta.</t>
        </is>
      </c>
    </row>
    <row r="37" ht="30" customHeight="1">
      <c r="A37" t="inlineStr">
        <is>
          <t>Dodavatel C – FS 7</t>
        </is>
      </c>
      <c r="B37" s="5" t="inlineStr">
        <is>
          <t>Migrace historie screeningu jen za 5 let, zbytek jako archiv v PDF – nesplňuje § 16 AML zákona.</t>
        </is>
      </c>
    </row>
    <row r="38" ht="30" customHeight="1">
      <c r="A38" t="inlineStr">
        <is>
          <t>Dodavatel C – FS 9–10</t>
        </is>
      </c>
      <c r="B38" s="5" t="inlineStr">
        <is>
          <t>Zálohy mimo EU/EHP a nejasné subdodavatelské řetězení podpory; exit bez exportu konfigurace.</t>
        </is>
      </c>
    </row>
    <row r="40" ht="45" customHeight="1">
      <c r="A40" s="5" t="inlineStr">
        <is>
          <t>Prohlášení: Členové komise prohlašují, že nejsou ve střetu zájmů ve vztahu k žádnému z uchazečů, hodnotili nezávisle podle předem schválené metodiky a výsledky odpovídají podkladům v tomto souboru.</t>
        </is>
      </c>
    </row>
    <row r="42">
      <c r="A42" s="10" t="inlineStr">
        <is>
          <t>Jméno</t>
        </is>
      </c>
      <c r="B42" s="10" t="inlineStr">
        <is>
          <t>Role</t>
        </is>
      </c>
      <c r="C42" s="10" t="inlineStr">
        <is>
          <t>Postavení v komisi</t>
        </is>
      </c>
      <c r="D42" s="10" t="inlineStr">
        <is>
          <t>Datum</t>
        </is>
      </c>
      <c r="E42" s="10" t="inlineStr">
        <is>
          <t>Podpis</t>
        </is>
      </c>
    </row>
    <row r="43" ht="30" customHeight="1">
      <c r="A43" s="17" t="inlineStr">
        <is>
          <t>Ing. Jana Novotná</t>
        </is>
      </c>
      <c r="B43" s="17" t="inlineStr">
        <is>
          <t>Business analytička / Product Owner AML</t>
        </is>
      </c>
      <c r="C43" s="17" t="inlineStr">
        <is>
          <t>předsedkyně, hlasuje</t>
        </is>
      </c>
      <c r="D43" s="17" t="inlineStr"/>
      <c r="E43" s="17" t="inlineStr"/>
    </row>
    <row r="44" ht="30" customHeight="1">
      <c r="A44" s="17" t="inlineStr">
        <is>
          <t>Ing. Martin Dvořák</t>
        </is>
      </c>
      <c r="B44" s="17" t="inlineStr">
        <is>
          <t>Enterprise architekt (IT)</t>
        </is>
      </c>
      <c r="C44" s="17" t="inlineStr">
        <is>
          <t>hlasuje</t>
        </is>
      </c>
      <c r="D44" s="17" t="inlineStr"/>
      <c r="E44" s="17" t="inlineStr"/>
    </row>
    <row r="45" ht="30" customHeight="1">
      <c r="A45" s="17" t="inlineStr">
        <is>
          <t>Mgr. Tomáš Svoboda</t>
        </is>
      </c>
      <c r="B45" s="17" t="inlineStr">
        <is>
          <t>Bezpečnostní architekt (útvar CISO)</t>
        </is>
      </c>
      <c r="C45" s="17" t="inlineStr">
        <is>
          <t>hlasuje</t>
        </is>
      </c>
      <c r="D45" s="17" t="inlineStr"/>
      <c r="E45" s="17" t="inlineStr"/>
    </row>
    <row r="46" ht="30" customHeight="1">
      <c r="A46" s="17" t="inlineStr">
        <is>
          <t>JUDr. Lucie Malá</t>
        </is>
      </c>
      <c r="B46" s="17" t="inlineStr">
        <is>
          <t>Ředitelka Compliance, pověřená osoba (MLRO)</t>
        </is>
      </c>
      <c r="C46" s="17" t="inlineStr">
        <is>
          <t>hlasuje</t>
        </is>
      </c>
      <c r="D46" s="17" t="inlineStr"/>
      <c r="E46" s="17" t="inlineStr"/>
    </row>
    <row r="47" ht="30" customHeight="1">
      <c r="A47" s="17" t="inlineStr">
        <is>
          <t>Ing. Pavel Černý</t>
        </is>
      </c>
      <c r="B47" s="17" t="inlineStr">
        <is>
          <t>Procurement</t>
        </is>
      </c>
      <c r="C47" s="17" t="inlineStr">
        <is>
          <t>bez hlasovacího práva, dohled nad procesem</t>
        </is>
      </c>
      <c r="D47" s="17" t="inlineStr"/>
      <c r="E47" s="17" t="inlineStr"/>
    </row>
    <row r="49">
      <c r="A49" t="inlineStr">
        <is>
          <t>Schválil (sponzor projektu):</t>
        </is>
      </c>
      <c r="B49" t="inlineStr">
        <is>
          <t>Ing. Karel Procházka, člen představenstva</t>
        </is>
      </c>
      <c r="D49" t="inlineStr">
        <is>
          <t>Podpis:</t>
        </is>
      </c>
    </row>
  </sheetData>
  <mergeCells count="22">
    <mergeCell ref="B23:D23"/>
    <mergeCell ref="B29:D29"/>
    <mergeCell ref="B38:D38"/>
    <mergeCell ref="B34:D34"/>
    <mergeCell ref="B28:D28"/>
    <mergeCell ref="B19:D19"/>
    <mergeCell ref="B37:D37"/>
    <mergeCell ref="B30:D30"/>
    <mergeCell ref="B24:D24"/>
    <mergeCell ref="B20:D20"/>
    <mergeCell ref="B33:D33"/>
    <mergeCell ref="B36:D36"/>
    <mergeCell ref="B32:D32"/>
    <mergeCell ref="B35:D35"/>
    <mergeCell ref="B26:D26"/>
    <mergeCell ref="B25:D25"/>
    <mergeCell ref="B31:D31"/>
    <mergeCell ref="B22:D22"/>
    <mergeCell ref="B18:D18"/>
    <mergeCell ref="B27:D27"/>
    <mergeCell ref="B21:D2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2026-10-06T09:49:35Z</dcterms:created>
  <dcterms:modified xmlns:dcterms="http://purl.org/dc/terms/" xmlns:xsi="http://www.w3.org/2001/XMLSchema-instance" xsi:type="dcterms:W3CDTF">2026-10-06T09:49:35Z</dcterms:modified>
</cp:coreProperties>
</file>