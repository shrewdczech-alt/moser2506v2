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ávod" sheetId="1" state="visible" r:id="rId1"/>
    <sheet xmlns:r="http://schemas.openxmlformats.org/officeDocument/2006/relationships" name="Souhrn" sheetId="2" state="visible" r:id="rId2"/>
    <sheet xmlns:r="http://schemas.openxmlformats.org/officeDocument/2006/relationships" name="Předpoklady" sheetId="3" state="visible" r:id="rId3"/>
    <sheet xmlns:r="http://schemas.openxmlformats.org/officeDocument/2006/relationships" name="A_Licence_Infra" sheetId="4" state="visible" r:id="rId4"/>
    <sheet xmlns:r="http://schemas.openxmlformats.org/officeDocument/2006/relationships" name="B_Implementace" sheetId="5" state="visible" r:id="rId5"/>
    <sheet xmlns:r="http://schemas.openxmlformats.org/officeDocument/2006/relationships" name="C_Provoz_Podpora" sheetId="6" state="visible" r:id="rId6"/>
    <sheet xmlns:r="http://schemas.openxmlformats.org/officeDocument/2006/relationships" name="D_Rate_card" sheetId="7" state="visible" r:id="rId7"/>
    <sheet xmlns:r="http://schemas.openxmlformats.org/officeDocument/2006/relationships" name="E_Exit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#,##0 &quot;Kč&quot;"/>
    <numFmt numFmtId="165" formatCode="#,##0.0"/>
    <numFmt numFmtId="166" formatCode="0.0%"/>
    <numFmt numFmtId="167" formatCode="#,##0 &quot;EUR&quot;"/>
  </numFmts>
  <fonts count="8">
    <font>
      <name val="Calibri"/>
      <family val="2"/>
      <color theme="1"/>
      <sz val="11"/>
      <scheme val="minor"/>
    </font>
    <font>
      <b val="1"/>
      <color rgb="001F3864"/>
      <sz val="14"/>
    </font>
    <font>
      <color rgb="00595959"/>
      <sz val="10"/>
    </font>
    <font>
      <i val="1"/>
      <color rgb="007F7F7F"/>
      <sz val="9"/>
    </font>
    <font>
      <b val="1"/>
      <color rgb="001F3864"/>
      <sz val="12"/>
    </font>
    <font>
      <b val="1"/>
      <color rgb="00FFFFFF"/>
    </font>
    <font>
      <b val="1"/>
    </font>
    <font>
      <b val="1"/>
      <color rgb="001F3864"/>
    </font>
  </fonts>
  <fills count="7">
    <fill>
      <patternFill/>
    </fill>
    <fill>
      <patternFill patternType="gray125"/>
    </fill>
    <fill>
      <patternFill patternType="solid">
        <fgColor rgb="00DDEBF7"/>
      </patternFill>
    </fill>
    <fill>
      <patternFill patternType="solid">
        <fgColor rgb="00FFF2CC"/>
      </patternFill>
    </fill>
    <fill>
      <patternFill patternType="solid">
        <fgColor rgb="00E2EFDA"/>
      </patternFill>
    </fill>
    <fill>
      <patternFill patternType="solid">
        <fgColor rgb="00EDEDED"/>
      </patternFill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0" borderId="0" applyAlignment="1" pivotButton="0" quotePrefix="0" xfId="0">
      <alignment vertical="top" wrapText="1"/>
    </xf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3" borderId="0" applyProtection="1" pivotButton="0" quotePrefix="0" xfId="0">
      <protection locked="0" hidden="0"/>
    </xf>
    <xf numFmtId="0" fontId="0" fillId="0" borderId="0" applyProtection="1" pivotButton="0" quotePrefix="0" xfId="0">
      <protection locked="0" hidden="0"/>
    </xf>
    <xf numFmtId="0" fontId="5" fillId="6" borderId="1" applyAlignment="1" pivotButton="0" quotePrefix="0" xfId="0">
      <alignment horizontal="center" vertical="top" wrapText="1"/>
    </xf>
    <xf numFmtId="0" fontId="0" fillId="0" borderId="1" pivotButton="0" quotePrefix="0" xfId="0"/>
    <xf numFmtId="164" fontId="0" fillId="5" borderId="1" pivotButton="0" quotePrefix="0" xfId="0"/>
    <xf numFmtId="166" fontId="0" fillId="5" borderId="1" pivotButton="0" quotePrefix="0" xfId="0"/>
    <xf numFmtId="0" fontId="6" fillId="0" borderId="1" pivotButton="0" quotePrefix="0" xfId="0"/>
    <xf numFmtId="164" fontId="6" fillId="5" borderId="1" pivotButton="0" quotePrefix="0" xfId="0"/>
    <xf numFmtId="0" fontId="0" fillId="5" borderId="1" pivotButton="0" quotePrefix="0" xfId="0"/>
    <xf numFmtId="167" fontId="0" fillId="5" borderId="1" pivotButton="0" quotePrefix="0" xfId="0"/>
    <xf numFmtId="0" fontId="6" fillId="0" borderId="0" pivotButton="0" quotePrefix="0" xfId="0"/>
    <xf numFmtId="0" fontId="0" fillId="2" borderId="1" applyAlignment="1" pivotButton="0" quotePrefix="0" xfId="0">
      <alignment vertical="top" wrapText="1"/>
    </xf>
    <xf numFmtId="3" fontId="0" fillId="2" borderId="1" applyAlignment="1" pivotButton="0" quotePrefix="0" xfId="0">
      <alignment vertical="top" wrapText="1"/>
    </xf>
    <xf numFmtId="9" fontId="0" fillId="2" borderId="1" applyAlignment="1" pivotButton="0" quotePrefix="0" xfId="0">
      <alignment vertical="top" wrapText="1"/>
    </xf>
    <xf numFmtId="4" fontId="0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0" fillId="3" borderId="1" applyProtection="1" pivotButton="0" quotePrefix="0" xfId="0">
      <protection locked="0" hidden="0"/>
    </xf>
    <xf numFmtId="164" fontId="0" fillId="3" borderId="1" applyProtection="1" pivotButton="0" quotePrefix="0" xfId="0">
      <protection locked="0" hidden="0"/>
    </xf>
    <xf numFmtId="0" fontId="0" fillId="3" borderId="1" applyAlignment="1" applyProtection="1" pivotButton="0" quotePrefix="0" xfId="0">
      <alignment vertical="top" wrapText="1"/>
      <protection locked="0" hidden="0"/>
    </xf>
    <xf numFmtId="165" fontId="0" fillId="3" borderId="1" applyProtection="1" pivotButton="0" quotePrefix="0" xfId="0">
      <protection locked="0" hidden="0"/>
    </xf>
    <xf numFmtId="165" fontId="6" fillId="5" borderId="1" pivotButton="0" quotePrefix="0" xfId="0"/>
    <xf numFmtId="0" fontId="7" fillId="0" borderId="0" pivotButton="0" quotePrefix="0" xfId="0"/>
    <xf numFmtId="9" fontId="0" fillId="2" borderId="1" pivotButton="0" quotePrefix="0" xfId="0"/>
    <xf numFmtId="9" fontId="0" fillId="0" borderId="0" pivotButton="0" quotePrefix="0" xfId="0"/>
    <xf numFmtId="166" fontId="0" fillId="3" borderId="0" applyProtection="1" pivotButton="0" quotePrefix="0" xfId="0">
      <protection locked="0" hidden="0"/>
    </xf>
    <xf numFmtId="166" fontId="0" fillId="5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FFC7CE"/>
        </patternFill>
      </fill>
    </dxf>
    <dxf>
      <fill>
        <patternFill patternType="solid">
          <fgColor rgb="00C6EF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3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120" customWidth="1" min="2" max="2"/>
  </cols>
  <sheetData>
    <row r="1">
      <c r="A1" s="1" t="inlineStr">
        <is>
          <t>Příloha 3 – Závazná cenová šablona (TCO na 5 let)</t>
        </is>
      </c>
    </row>
    <row r="2">
      <c r="A2" s="2" t="inlineStr">
        <is>
          <t>Horizont Privátní banka, a.s. · Projekt SENTINEL – výměna KYC/AML řešení</t>
        </is>
      </c>
    </row>
    <row r="3">
      <c r="A3" s="3" t="inlineStr">
        <is>
          <t>FIKTIVNÍ CVIČNÝ DOKUMENT – banka, osoby a dodavatelé jsou smyšlení.</t>
        </is>
      </c>
    </row>
    <row r="5">
      <c r="B5" s="4" t="inlineStr">
        <is>
          <t>Pokyny</t>
        </is>
      </c>
    </row>
    <row r="6">
      <c r="B6" s="5" t="inlineStr">
        <is>
          <t>1) Vyplňujte VÝHRADNĚ žlutě podbarvené buňky. Ostatní buňky jsou uzamčeny a obsahují vzorce.</t>
        </is>
      </c>
    </row>
    <row r="7">
      <c r="B7" s="5" t="inlineStr">
        <is>
          <t>2) Všechny ceny uvádějte v Kč bez DPH. Ceny v EUR přepočtěte kurzem uvedeným na listu Předpoklady.</t>
        </is>
      </c>
    </row>
    <row r="8">
      <c r="B8" s="5" t="inlineStr">
        <is>
          <t>3) Každý řádek musí být vyplněn. Pokud je položka zahrnuta v jiné položce, uveďte 0 a do sloupce Poznámka napište, ve které.</t>
        </is>
      </c>
    </row>
    <row r="9">
      <c r="B9" s="5" t="inlineStr">
        <is>
          <t>4) Rok 1 začíná podpisem smlouvy (plánováno 1. 4. 2027). Go-live je předpokládán v roce 1 nebo 2 dle vašeho plánu ve FS.</t>
        </is>
      </c>
    </row>
    <row r="10">
      <c r="B10" s="5" t="inlineStr">
        <is>
          <t>5) Ceny musí odpovídat objemům a prostředím z listu Předpoklady, včetně růstového scénáře +20 % objemů od roku 4.</t>
        </is>
      </c>
    </row>
    <row r="11">
      <c r="B11" s="5" t="inlineStr">
        <is>
          <t>6) Legislativní údržba (AML zákon, vyhlášky ČNB, AMLR) a oprava zranitelností v dodaném kódu musí být zahrnuty v ceně licence/podpory – na listu C to potvrďte hodnotou „Ano“. Hodnota „Ne“ je vyřazovací.</t>
        </is>
      </c>
    </row>
    <row r="12">
      <c r="B12" s="5" t="inlineStr">
        <is>
          <t>7) Rate card (list D) je závazná po celou dobu smlouvy; meziroční navýšení sazeb je omezeno inflační doložkou s maximem 5 %.</t>
        </is>
      </c>
    </row>
    <row r="13">
      <c r="B13" s="5" t="inlineStr">
        <is>
          <t>8) Rozvojová kapacita (list C) je oceněna automaticky z rate card na 120 MD ročně, aby byly nabídky srovnatelné.</t>
        </is>
      </c>
    </row>
    <row r="14">
      <c r="B14" s="5" t="inlineStr">
        <is>
          <t>9) Hodnocenou cenou je „TCO celkem za 5 let“ na listu Souhrn. Kontrolní buňky na listu Souhrn musí být zelené.</t>
        </is>
      </c>
    </row>
    <row r="15">
      <c r="B15" s="4" t="inlineStr">
        <is>
          <t>Proč se ptáme na tyto položky</t>
        </is>
      </c>
    </row>
    <row r="16">
      <c r="B16" s="5" t="inlineStr">
        <is>
          <t>Šablona vědomě obsahuje položky, které se v nabídkách často „zapomínají“ a doplácejí se později jako vícepráce: neprodukční prostředí, licence třetích stran, datové zdroje sankcí/PEP, dopad růstu objemů, integrace na logování, monitoring a zálohování, datová migrace, dokumentace v češtině, oprava bezpečnostních nálezů a exit.</t>
        </is>
      </c>
    </row>
    <row r="17">
      <c r="B17" s="4" t="inlineStr">
        <is>
          <t>Barvy</t>
        </is>
      </c>
    </row>
    <row r="20">
      <c r="A20" s="6" t="n"/>
      <c r="B20" t="inlineStr">
        <is>
          <t>Vyplňuje Banka (stakeholdeři / projektový tým)</t>
        </is>
      </c>
    </row>
    <row r="21">
      <c r="A21" s="7" t="n"/>
      <c r="B21" t="inlineStr">
        <is>
          <t>Vyplňuje dodavatel</t>
        </is>
      </c>
    </row>
    <row r="22">
      <c r="A22" s="8" t="n"/>
      <c r="B22" t="inlineStr">
        <is>
          <t>Vyplňuje hodnoticí komise</t>
        </is>
      </c>
    </row>
    <row r="23">
      <c r="A23" s="9" t="n"/>
      <c r="B23" t="inlineStr">
        <is>
          <t>Vypočteno vzorcem – needitovat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cols>
    <col width="44" customWidth="1" min="1" max="1"/>
    <col width="2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7" customWidth="1" min="8" max="8"/>
    <col width="9" customWidth="1" min="9" max="9"/>
  </cols>
  <sheetData>
    <row r="1">
      <c r="A1" s="1" t="inlineStr">
        <is>
          <t>Souhrn TCO na 5 let (vypočteno – needitovat)</t>
        </is>
      </c>
    </row>
    <row r="2">
      <c r="A2" s="2" t="inlineStr">
        <is>
          <t>Horizont Privátní banka, a.s. · Projekt SENTINEL – výměna KYC/AML řešení</t>
        </is>
      </c>
    </row>
    <row r="3">
      <c r="A3" s="3" t="inlineStr">
        <is>
          <t>FIKTIVNÍ CVIČNÝ DOKUMENT – banka, osoby a dodavatelé jsou smyšlení.</t>
        </is>
      </c>
    </row>
    <row r="4">
      <c r="A4" t="inlineStr">
        <is>
          <t>Název dodavatele:</t>
        </is>
      </c>
      <c r="C4" s="10" t="n"/>
      <c r="D4" s="11" t="n"/>
      <c r="E4" s="11" t="n"/>
    </row>
    <row r="6">
      <c r="A6" s="12" t="inlineStr">
        <is>
          <t>Kategorie</t>
        </is>
      </c>
      <c r="B6" s="12" t="inlineStr"/>
      <c r="C6" s="12" t="inlineStr">
        <is>
          <t>Rok 1</t>
        </is>
      </c>
      <c r="D6" s="12" t="inlineStr">
        <is>
          <t>Rok 2</t>
        </is>
      </c>
      <c r="E6" s="12" t="inlineStr">
        <is>
          <t>Rok 3</t>
        </is>
      </c>
      <c r="F6" s="12" t="inlineStr">
        <is>
          <t>Rok 4</t>
        </is>
      </c>
      <c r="G6" s="12" t="inlineStr">
        <is>
          <t>Rok 5</t>
        </is>
      </c>
      <c r="H6" s="12" t="inlineStr">
        <is>
          <t>Celkem 5 let</t>
        </is>
      </c>
      <c r="I6" s="12" t="inlineStr">
        <is>
          <t>Podíl</t>
        </is>
      </c>
    </row>
    <row r="7">
      <c r="A7" s="13" t="inlineStr">
        <is>
          <t>A – Licence a infrastruktura</t>
        </is>
      </c>
      <c r="B7" s="13" t="n"/>
      <c r="C7" s="14">
        <f>'A_Licence_Infra'!E18</f>
        <v/>
      </c>
      <c r="D7" s="14">
        <f>'A_Licence_Infra'!F18</f>
        <v/>
      </c>
      <c r="E7" s="14">
        <f>'A_Licence_Infra'!G18</f>
        <v/>
      </c>
      <c r="F7" s="14">
        <f>'A_Licence_Infra'!H18</f>
        <v/>
      </c>
      <c r="G7" s="14">
        <f>'A_Licence_Infra'!I18</f>
        <v/>
      </c>
      <c r="H7" s="14">
        <f>SUM(C7:G7)</f>
        <v/>
      </c>
      <c r="I7" s="15">
        <f>IFERROR(H7/$H$11,0)</f>
        <v/>
      </c>
    </row>
    <row r="8">
      <c r="A8" s="13" t="inlineStr">
        <is>
          <t>B – Implementace a jednorázové služby</t>
        </is>
      </c>
      <c r="B8" s="13" t="n"/>
      <c r="C8" s="14">
        <f>'B_Implementace'!H22</f>
        <v/>
      </c>
      <c r="D8" s="14">
        <f>'B_Implementace'!I22</f>
        <v/>
      </c>
      <c r="E8" s="14">
        <f>'B_Implementace'!J22</f>
        <v/>
      </c>
      <c r="F8" s="14">
        <f>'B_Implementace'!K22</f>
        <v/>
      </c>
      <c r="G8" s="14">
        <f>'B_Implementace'!L22</f>
        <v/>
      </c>
      <c r="H8" s="14">
        <f>SUM(C8:G8)</f>
        <v/>
      </c>
      <c r="I8" s="15">
        <f>IFERROR(H8/$H$11,0)</f>
        <v/>
      </c>
    </row>
    <row r="9">
      <c r="A9" s="13" t="inlineStr">
        <is>
          <t>C – Provoz, podpora a rozvoj</t>
        </is>
      </c>
      <c r="B9" s="13" t="n"/>
      <c r="C9" s="14">
        <f>'C_Provoz_Podpora'!D13</f>
        <v/>
      </c>
      <c r="D9" s="14">
        <f>'C_Provoz_Podpora'!E13</f>
        <v/>
      </c>
      <c r="E9" s="14">
        <f>'C_Provoz_Podpora'!F13</f>
        <v/>
      </c>
      <c r="F9" s="14">
        <f>'C_Provoz_Podpora'!G13</f>
        <v/>
      </c>
      <c r="G9" s="14">
        <f>'C_Provoz_Podpora'!H13</f>
        <v/>
      </c>
      <c r="H9" s="14">
        <f>SUM(C9:G9)</f>
        <v/>
      </c>
      <c r="I9" s="15">
        <f>IFERROR(H9/$H$11,0)</f>
        <v/>
      </c>
    </row>
    <row r="10">
      <c r="A10" s="13" t="inlineStr">
        <is>
          <t>E – Exit</t>
        </is>
      </c>
      <c r="B10" s="13" t="n"/>
      <c r="C10" s="14">
        <f>'E_Exit'!D9</f>
        <v/>
      </c>
      <c r="D10" s="14">
        <f>'E_Exit'!E9</f>
        <v/>
      </c>
      <c r="E10" s="14">
        <f>'E_Exit'!F9</f>
        <v/>
      </c>
      <c r="F10" s="14">
        <f>'E_Exit'!G9</f>
        <v/>
      </c>
      <c r="G10" s="14">
        <f>'E_Exit'!H9</f>
        <v/>
      </c>
      <c r="H10" s="14">
        <f>SUM(C10:G10)</f>
        <v/>
      </c>
      <c r="I10" s="15">
        <f>IFERROR(H10/$H$11,0)</f>
        <v/>
      </c>
    </row>
    <row r="11">
      <c r="A11" s="16" t="inlineStr">
        <is>
          <t>TCO celkem za 5 let (HODNOCENÁ CENA)</t>
        </is>
      </c>
      <c r="B11" s="13" t="n"/>
      <c r="C11" s="17">
        <f>SUM(C7:C10)</f>
        <v/>
      </c>
      <c r="D11" s="17">
        <f>SUM(D7:D10)</f>
        <v/>
      </c>
      <c r="E11" s="17">
        <f>SUM(E7:E10)</f>
        <v/>
      </c>
      <c r="F11" s="17">
        <f>SUM(F7:F10)</f>
        <v/>
      </c>
      <c r="G11" s="17">
        <f>SUM(G7:G10)</f>
        <v/>
      </c>
      <c r="H11" s="17">
        <f>SUM(H7:H10)</f>
        <v/>
      </c>
      <c r="I11" s="18" t="n"/>
    </row>
    <row r="12">
      <c r="A12" s="13" t="inlineStr">
        <is>
          <t>NPV TCO (informativně, nehodnotí se)</t>
        </is>
      </c>
      <c r="B12" s="13" t="n"/>
      <c r="C12" s="18" t="n"/>
      <c r="D12" s="18" t="n"/>
      <c r="E12" s="18" t="n"/>
      <c r="F12" s="18" t="n"/>
      <c r="G12" s="18" t="n"/>
      <c r="H12" s="14">
        <f>NPV('Předpoklady'!$B$16,C11:G11)</f>
        <v/>
      </c>
      <c r="I12" s="18" t="n"/>
    </row>
    <row r="13">
      <c r="A13" s="13" t="inlineStr">
        <is>
          <t>TCO v EUR (informativně)</t>
        </is>
      </c>
      <c r="B13" s="13" t="n"/>
      <c r="C13" s="18" t="n"/>
      <c r="D13" s="18" t="n"/>
      <c r="E13" s="18" t="n"/>
      <c r="F13" s="18" t="n"/>
      <c r="G13" s="18" t="n"/>
      <c r="H13" s="19">
        <f>H11/'Předpoklady'!$B$15</f>
        <v/>
      </c>
      <c r="I13" s="18" t="n"/>
    </row>
    <row r="15">
      <c r="A15" s="4" t="inlineStr">
        <is>
          <t>Kontroly úplnosti</t>
        </is>
      </c>
    </row>
    <row r="16">
      <c r="A16" t="inlineStr">
        <is>
          <t>Nevyplněné cenové buňky v listu A</t>
        </is>
      </c>
      <c r="C16" s="18">
        <f>COUNTBLANK('A_Licence_Infra'!E6:I17)</f>
        <v/>
      </c>
    </row>
    <row r="17">
      <c r="A17" t="inlineStr">
        <is>
          <t>Nevyplněný způsob zajištění v listu A</t>
        </is>
      </c>
      <c r="C17" s="18">
        <f>COUNTBLANK('A_Licence_Infra'!D6:D17)</f>
        <v/>
      </c>
    </row>
    <row r="18">
      <c r="A18" t="inlineStr">
        <is>
          <t>Nevyplněné MD / sazby / rok plnění v listu B</t>
        </is>
      </c>
      <c r="C18" s="18">
        <f>COUNTBLANK('B_Implementace'!D6:E21)+COUNTBLANK('B_Implementace'!G6:G21)</f>
        <v/>
      </c>
    </row>
    <row r="19">
      <c r="A19" t="inlineStr">
        <is>
          <t>Nevyplněné cenové buňky v listu C</t>
        </is>
      </c>
      <c r="C19" s="18">
        <f>COUNTBLANK('C_Provoz_Podpora'!D6:H11)</f>
        <v/>
      </c>
    </row>
    <row r="20">
      <c r="A20" t="inlineStr">
        <is>
          <t>Nevyplněné sazby v rate card / indexace</t>
        </is>
      </c>
      <c r="C20" s="18">
        <f>COUNTBLANK('D_Rate_card'!C6:C14)+COUNTBLANK('D_Rate_card'!C17)</f>
        <v/>
      </c>
    </row>
    <row r="21">
      <c r="A21" t="inlineStr">
        <is>
          <t>Nevyplněné cenové buňky v listu E</t>
        </is>
      </c>
      <c r="C21" s="18">
        <f>COUNTBLANK('E_Exit'!D6:H8)</f>
        <v/>
      </c>
    </row>
    <row r="22">
      <c r="A22" t="inlineStr">
        <is>
          <t>Potvrzení na listu C s hodnotou jinou než Ano</t>
        </is>
      </c>
      <c r="C22" s="18">
        <f>COUNTA('C_Provoz_Podpora'!$D$16:$D$19)-COUNTIF('C_Provoz_Podpora'!$D$16:$D$19,"Ano")+COUNTBLANK('C_Provoz_Podpora'!$D$16:$D$19)</f>
        <v/>
      </c>
    </row>
    <row r="23">
      <c r="A23" s="20" t="inlineStr">
        <is>
          <t>Stav nabídky</t>
        </is>
      </c>
      <c r="C23" s="20">
        <f>IF(SUM(C16:C22)=0,"KOMPLETNÍ","NEÚPLNÁ")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D761"/>
  <mergeCells count="2">
    <mergeCell ref="C4:E4"/>
    <mergeCell ref="C23:D23"/>
  </mergeCells>
  <conditionalFormatting sqref="C16:C22">
    <cfRule type="cellIs" priority="1" operator="greaterThan" dxfId="0">
      <formula>0</formula>
    </cfRule>
    <cfRule type="cellIs" priority="2" operator="equal" dxfId="1">
      <formula>0</formula>
    </cfRule>
  </conditionalFormatting>
  <conditionalFormatting sqref="C23">
    <cfRule type="cellIs" priority="3" operator="equal" dxfId="1">
      <formula>"KOMPLETNÍ"</formula>
    </cfRule>
    <cfRule type="cellIs" priority="4" operator="equal" dxfId="0">
      <formula>"NEÚPLNÁ"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52" customWidth="1" min="1" max="1"/>
    <col width="16" customWidth="1" min="2" max="2"/>
    <col width="14" customWidth="1" min="3" max="3"/>
    <col width="60" customWidth="1" min="4" max="4"/>
  </cols>
  <sheetData>
    <row r="1">
      <c r="A1" s="1" t="inlineStr">
        <is>
          <t>Předpoklady pro nacenění (stanovuje Banka – needitovat)</t>
        </is>
      </c>
    </row>
    <row r="2">
      <c r="A2" s="2" t="inlineStr">
        <is>
          <t>Horizont Privátní banka, a.s. · Projekt SENTINEL – výměna KYC/AML řešení</t>
        </is>
      </c>
    </row>
    <row r="3">
      <c r="A3" s="3" t="inlineStr">
        <is>
          <t>FIKTIVNÍ CVIČNÝ DOKUMENT – banka, osoby a dodavatelé jsou smyšlení.</t>
        </is>
      </c>
    </row>
    <row r="5">
      <c r="A5" s="12" t="inlineStr">
        <is>
          <t>Parametr</t>
        </is>
      </c>
      <c r="B5" s="12" t="inlineStr">
        <is>
          <t>Hodnota</t>
        </is>
      </c>
      <c r="C5" s="12" t="inlineStr">
        <is>
          <t>Jednotka</t>
        </is>
      </c>
      <c r="D5" s="12" t="inlineStr">
        <is>
          <t>Poznámka</t>
        </is>
      </c>
    </row>
    <row r="6">
      <c r="A6" s="21" t="inlineStr">
        <is>
          <t>Počet aktivních klientů (rok 1)</t>
        </is>
      </c>
      <c r="B6" s="22" t="n">
        <v>9500</v>
      </c>
      <c r="C6" s="21" t="inlineStr">
        <is>
          <t>klientů</t>
        </is>
      </c>
      <c r="D6" s="21" t="inlineStr">
        <is>
          <t>65 % FO, 35 % PO a struktury</t>
        </is>
      </c>
    </row>
    <row r="7">
      <c r="A7" s="21" t="inlineStr">
        <is>
          <t>Počet prověřovaných subjektů (klienti, zástupci, UBO)</t>
        </is>
      </c>
      <c r="B7" s="22" t="n">
        <v>38000</v>
      </c>
      <c r="C7" s="21" t="inlineStr">
        <is>
          <t>subjektů</t>
        </is>
      </c>
      <c r="D7" s="21" t="inlineStr">
        <is>
          <t>Noční re-screening</t>
        </is>
      </c>
    </row>
    <row r="8">
      <c r="A8" s="21" t="inlineStr">
        <is>
          <t>Počet transakcí ročně (rok 1)</t>
        </is>
      </c>
      <c r="B8" s="22" t="n">
        <v>1400000</v>
      </c>
      <c r="C8" s="21" t="inlineStr">
        <is>
          <t>transakcí</t>
        </is>
      </c>
      <c r="D8" s="21" t="inlineStr">
        <is>
          <t>Vstup do monitoringu transakcí</t>
        </is>
      </c>
    </row>
    <row r="9">
      <c r="A9" s="21" t="inlineStr">
        <is>
          <t>Počet plateb ke screeningu ročně</t>
        </is>
      </c>
      <c r="B9" s="22" t="n">
        <v>220000</v>
      </c>
      <c r="C9" s="21" t="inlineStr">
        <is>
          <t>plateb</t>
        </is>
      </c>
      <c r="D9" s="21" t="inlineStr">
        <is>
          <t>Zahraniční platby SWIFT/SEPA</t>
        </is>
      </c>
    </row>
    <row r="10">
      <c r="A10" s="21" t="inlineStr">
        <is>
          <t>Pojmenovaní uživatelé</t>
        </is>
      </c>
      <c r="B10" s="22" t="n">
        <v>150</v>
      </c>
      <c r="C10" s="21" t="inlineStr">
        <is>
          <t>uživatelů</t>
        </is>
      </c>
      <c r="D10" s="21" t="inlineStr">
        <is>
          <t>Obchod 100, Compliance 30, podpora 20</t>
        </is>
      </c>
    </row>
    <row r="11">
      <c r="A11" s="21" t="inlineStr">
        <is>
          <t>Souběžní uživatelé</t>
        </is>
      </c>
      <c r="B11" s="22" t="n">
        <v>60</v>
      </c>
      <c r="C11" s="21" t="inlineStr">
        <is>
          <t>uživatelů</t>
        </is>
      </c>
      <c r="D11" s="21" t="inlineStr"/>
    </row>
    <row r="12">
      <c r="A12" s="21" t="inlineStr">
        <is>
          <t>Růstový scénář – nárůst objemů od roku 4</t>
        </is>
      </c>
      <c r="B12" s="23" t="n">
        <v>0.2</v>
      </c>
      <c r="C12" s="21" t="inlineStr">
        <is>
          <t>%</t>
        </is>
      </c>
      <c r="D12" s="21" t="inlineStr">
        <is>
          <t>Oceňte dopad do licencí a infrastruktury (list A, řádek A.10)</t>
        </is>
      </c>
    </row>
    <row r="13">
      <c r="A13" s="21" t="inlineStr">
        <is>
          <t>Prostředí</t>
        </is>
      </c>
      <c r="B13" s="21" t="inlineStr">
        <is>
          <t>DEV, SIT, UAT, PreProd, PROD, DR</t>
        </is>
      </c>
      <c r="C13" s="21" t="inlineStr"/>
      <c r="D13" s="21" t="inlineStr">
        <is>
          <t>Všechna musí být oceněna</t>
        </is>
      </c>
    </row>
    <row r="14">
      <c r="A14" s="21" t="inlineStr">
        <is>
          <t>Hosting</t>
        </is>
      </c>
      <c r="B14" s="21" t="inlineStr">
        <is>
          <t>On-premise DC Banky / privátní cloud EU</t>
        </is>
      </c>
      <c r="C14" s="21" t="inlineStr"/>
      <c r="D14" s="21" t="inlineStr">
        <is>
          <t>Viz NFR-006 (K.O.)</t>
        </is>
      </c>
    </row>
    <row r="15">
      <c r="A15" s="21" t="inlineStr">
        <is>
          <t>Kurz pro přepočet EUR/CZK</t>
        </is>
      </c>
      <c r="B15" s="24" t="n">
        <v>25</v>
      </c>
      <c r="C15" s="21" t="inlineStr">
        <is>
          <t>Kč/EUR</t>
        </is>
      </c>
      <c r="D15" s="21" t="inlineStr">
        <is>
          <t>Pevný kurz pro účely hodnocení</t>
        </is>
      </c>
    </row>
    <row r="16">
      <c r="A16" s="21" t="inlineStr">
        <is>
          <t>Diskontní sazba pro NPV (informativně)</t>
        </is>
      </c>
      <c r="B16" s="23" t="n">
        <v>0.05</v>
      </c>
      <c r="C16" s="21" t="inlineStr">
        <is>
          <t>%</t>
        </is>
      </c>
      <c r="D16" s="21" t="inlineStr">
        <is>
          <t>NPV se nehodnotí, slouží Bance pro interní business case</t>
        </is>
      </c>
    </row>
    <row r="17">
      <c r="A17" s="21" t="inlineStr">
        <is>
          <t>Rozvojová kapacita ročně</t>
        </is>
      </c>
      <c r="B17" s="22" t="n">
        <v>120</v>
      </c>
      <c r="C17" s="21" t="inlineStr">
        <is>
          <t>MD/rok</t>
        </is>
      </c>
      <c r="D17" s="21" t="inlineStr">
        <is>
          <t>Oceněno z rate card (list D)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D76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pane xSplit="3" ySplit="5" topLeftCell="D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38" customWidth="1" min="2" max="2"/>
    <col width="52" customWidth="1" min="3" max="3"/>
    <col width="16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6" customWidth="1" min="10" max="10"/>
    <col width="36" customWidth="1" min="11" max="11"/>
  </cols>
  <sheetData>
    <row r="1">
      <c r="A1" s="1" t="inlineStr">
        <is>
          <t>A – Licence a infrastruktura</t>
        </is>
      </c>
    </row>
    <row r="2">
      <c r="A2" s="2" t="inlineStr">
        <is>
          <t>Horizont Privátní banka, a.s. · Projekt SENTINEL – výměna KYC/AML řešení</t>
        </is>
      </c>
    </row>
    <row r="3">
      <c r="A3" s="3" t="inlineStr">
        <is>
          <t>FIKTIVNÍ CVIČNÝ DOKUMENT – banka, osoby a dodavatelé jsou smyšlení.</t>
        </is>
      </c>
    </row>
    <row r="5">
      <c r="A5" s="12" t="inlineStr">
        <is>
          <t>Č.</t>
        </is>
      </c>
      <c r="B5" s="12" t="inlineStr">
        <is>
          <t>Položka</t>
        </is>
      </c>
      <c r="C5" s="12" t="inlineStr">
        <is>
          <t>Popis / co musí obsahovat</t>
        </is>
      </c>
      <c r="D5" s="12" t="inlineStr">
        <is>
          <t>Způsob zajištění</t>
        </is>
      </c>
      <c r="E5" s="12" t="inlineStr">
        <is>
          <t>Rok 1</t>
        </is>
      </c>
      <c r="F5" s="12" t="inlineStr">
        <is>
          <t>Rok 2</t>
        </is>
      </c>
      <c r="G5" s="12" t="inlineStr">
        <is>
          <t>Rok 3</t>
        </is>
      </c>
      <c r="H5" s="12" t="inlineStr">
        <is>
          <t>Rok 4</t>
        </is>
      </c>
      <c r="I5" s="12" t="inlineStr">
        <is>
          <t>Rok 5</t>
        </is>
      </c>
      <c r="J5" s="12" t="inlineStr">
        <is>
          <t>Celkem 5 let</t>
        </is>
      </c>
      <c r="K5" s="12" t="inlineStr">
        <is>
          <t>Poznámka dodavatele</t>
        </is>
      </c>
    </row>
    <row r="6">
      <c r="A6" s="13" t="inlineStr">
        <is>
          <t>A.1</t>
        </is>
      </c>
      <c r="B6" s="25" t="inlineStr">
        <is>
          <t>Licence – produkční prostředí (PROD)</t>
        </is>
      </c>
      <c r="C6" s="25" t="inlineStr">
        <is>
          <t>Všechny moduly pokrývající Matici shody; metrika licencování uvedena v poznámce</t>
        </is>
      </c>
      <c r="D6" s="26" t="n"/>
      <c r="E6" s="27" t="n"/>
      <c r="F6" s="27" t="n"/>
      <c r="G6" s="27" t="n"/>
      <c r="H6" s="27" t="n"/>
      <c r="I6" s="27" t="n"/>
      <c r="J6" s="14">
        <f>SUM(E6:I6)</f>
        <v/>
      </c>
      <c r="K6" s="28" t="n"/>
    </row>
    <row r="7">
      <c r="A7" s="13" t="inlineStr">
        <is>
          <t>A.2</t>
        </is>
      </c>
      <c r="B7" s="25" t="inlineStr">
        <is>
          <t>Licence – DR prostředí</t>
        </is>
      </c>
      <c r="C7" s="25" t="inlineStr">
        <is>
          <t>Záložní DC (active-passive)</t>
        </is>
      </c>
      <c r="D7" s="26" t="n"/>
      <c r="E7" s="27" t="n"/>
      <c r="F7" s="27" t="n"/>
      <c r="G7" s="27" t="n"/>
      <c r="H7" s="27" t="n"/>
      <c r="I7" s="27" t="n"/>
      <c r="J7" s="14">
        <f>SUM(E7:I7)</f>
        <v/>
      </c>
      <c r="K7" s="28" t="n"/>
    </row>
    <row r="8">
      <c r="A8" s="13" t="inlineStr">
        <is>
          <t>A.3</t>
        </is>
      </c>
      <c r="B8" s="25" t="inlineStr">
        <is>
          <t>Licence – DEV</t>
        </is>
      </c>
      <c r="C8" s="25" t="inlineStr">
        <is>
          <t>Vývojové prostředí Banky</t>
        </is>
      </c>
      <c r="D8" s="26" t="n"/>
      <c r="E8" s="27" t="n"/>
      <c r="F8" s="27" t="n"/>
      <c r="G8" s="27" t="n"/>
      <c r="H8" s="27" t="n"/>
      <c r="I8" s="27" t="n"/>
      <c r="J8" s="14">
        <f>SUM(E8:I8)</f>
        <v/>
      </c>
      <c r="K8" s="28" t="n"/>
    </row>
    <row r="9">
      <c r="A9" s="13" t="inlineStr">
        <is>
          <t>A.4</t>
        </is>
      </c>
      <c r="B9" s="25" t="inlineStr">
        <is>
          <t>Licence – SIT</t>
        </is>
      </c>
      <c r="C9" s="25" t="inlineStr">
        <is>
          <t>Systémové integrační testy</t>
        </is>
      </c>
      <c r="D9" s="26" t="n"/>
      <c r="E9" s="27" t="n"/>
      <c r="F9" s="27" t="n"/>
      <c r="G9" s="27" t="n"/>
      <c r="H9" s="27" t="n"/>
      <c r="I9" s="27" t="n"/>
      <c r="J9" s="14">
        <f>SUM(E9:I9)</f>
        <v/>
      </c>
      <c r="K9" s="28" t="n"/>
    </row>
    <row r="10">
      <c r="A10" s="13" t="inlineStr">
        <is>
          <t>A.5</t>
        </is>
      </c>
      <c r="B10" s="25" t="inlineStr">
        <is>
          <t>Licence – UAT</t>
        </is>
      </c>
      <c r="C10" s="25" t="inlineStr">
        <is>
          <t>Uživatelské akceptační testy</t>
        </is>
      </c>
      <c r="D10" s="26" t="n"/>
      <c r="E10" s="27" t="n"/>
      <c r="F10" s="27" t="n"/>
      <c r="G10" s="27" t="n"/>
      <c r="H10" s="27" t="n"/>
      <c r="I10" s="27" t="n"/>
      <c r="J10" s="14">
        <f>SUM(E10:I10)</f>
        <v/>
      </c>
      <c r="K10" s="28" t="n"/>
    </row>
    <row r="11">
      <c r="A11" s="13" t="inlineStr">
        <is>
          <t>A.6</t>
        </is>
      </c>
      <c r="B11" s="25" t="inlineStr">
        <is>
          <t>Licence – PreProd (výkonnostní)</t>
        </is>
      </c>
      <c r="C11" s="25" t="inlineStr">
        <is>
          <t>Prostředí v produkční velikosti pro výkonnostní testy</t>
        </is>
      </c>
      <c r="D11" s="26" t="n"/>
      <c r="E11" s="27" t="n"/>
      <c r="F11" s="27" t="n"/>
      <c r="G11" s="27" t="n"/>
      <c r="H11" s="27" t="n"/>
      <c r="I11" s="27" t="n"/>
      <c r="J11" s="14">
        <f>SUM(E11:I11)</f>
        <v/>
      </c>
      <c r="K11" s="28" t="n"/>
    </row>
    <row r="12">
      <c r="A12" s="13" t="inlineStr">
        <is>
          <t>A.7</t>
        </is>
      </c>
      <c r="B12" s="25" t="inlineStr">
        <is>
          <t>Licence databáze třetí strany</t>
        </is>
      </c>
      <c r="C12" s="25" t="inlineStr">
        <is>
          <t>Oracle / MS SQL / PostgreSQL – uveďte OEM v ceně nebo nákup Bankou</t>
        </is>
      </c>
      <c r="D12" s="26" t="n"/>
      <c r="E12" s="27" t="n"/>
      <c r="F12" s="27" t="n"/>
      <c r="G12" s="27" t="n"/>
      <c r="H12" s="27" t="n"/>
      <c r="I12" s="27" t="n"/>
      <c r="J12" s="14">
        <f>SUM(E12:I12)</f>
        <v/>
      </c>
      <c r="K12" s="28" t="n"/>
    </row>
    <row r="13">
      <c r="A13" s="13" t="inlineStr">
        <is>
          <t>A.8</t>
        </is>
      </c>
      <c r="B13" s="25" t="inlineStr">
        <is>
          <t>Licence aplikačního serveru, middleware, ostatní SW třetích stran</t>
        </is>
      </c>
      <c r="C13" s="25" t="inlineStr">
        <is>
          <t>Vše, co řešení potřebuje k běhu</t>
        </is>
      </c>
      <c r="D13" s="26" t="n"/>
      <c r="E13" s="27" t="n"/>
      <c r="F13" s="27" t="n"/>
      <c r="G13" s="27" t="n"/>
      <c r="H13" s="27" t="n"/>
      <c r="I13" s="27" t="n"/>
      <c r="J13" s="14">
        <f>SUM(E13:I13)</f>
        <v/>
      </c>
      <c r="K13" s="28" t="n"/>
    </row>
    <row r="14">
      <c r="A14" s="13" t="inlineStr">
        <is>
          <t>A.9</t>
        </is>
      </c>
      <c r="B14" s="25" t="inlineStr">
        <is>
          <t>Datové zdroje: sankční seznamy, PEP, adverse media</t>
        </is>
      </c>
      <c r="C14" s="25" t="inlineStr">
        <is>
          <t>Předplatné datových feedů po celých 5 let</t>
        </is>
      </c>
      <c r="D14" s="26" t="n"/>
      <c r="E14" s="27" t="n"/>
      <c r="F14" s="27" t="n"/>
      <c r="G14" s="27" t="n"/>
      <c r="H14" s="27" t="n"/>
      <c r="I14" s="27" t="n"/>
      <c r="J14" s="14">
        <f>SUM(E14:I14)</f>
        <v/>
      </c>
      <c r="K14" s="28" t="n"/>
    </row>
    <row r="15">
      <c r="A15" s="13" t="inlineStr">
        <is>
          <t>A.10</t>
        </is>
      </c>
      <c r="B15" s="25" t="inlineStr">
        <is>
          <t>Dopad růstového scénáře +20 % od roku 4</t>
        </is>
      </c>
      <c r="C15" s="25" t="inlineStr">
        <is>
          <t>Navýšení licencí/infrastruktury při překročení tieru</t>
        </is>
      </c>
      <c r="D15" s="26" t="n"/>
      <c r="E15" s="27" t="n"/>
      <c r="F15" s="27" t="n"/>
      <c r="G15" s="27" t="n"/>
      <c r="H15" s="27" t="n"/>
      <c r="I15" s="27" t="n"/>
      <c r="J15" s="14">
        <f>SUM(E15:I15)</f>
        <v/>
      </c>
      <c r="K15" s="28" t="n"/>
    </row>
    <row r="16">
      <c r="A16" s="13" t="inlineStr">
        <is>
          <t>A.11</t>
        </is>
      </c>
      <c r="B16" s="25" t="inlineStr">
        <is>
          <t>Infrastruktura / hosting privátního cloudu</t>
        </is>
      </c>
      <c r="C16" s="25" t="inlineStr">
        <is>
          <t>Pouze pokud ji dodává dodavatel; on-premise HW uveďte jako sizing v FS kap. 3</t>
        </is>
      </c>
      <c r="D16" s="26" t="n"/>
      <c r="E16" s="27" t="n"/>
      <c r="F16" s="27" t="n"/>
      <c r="G16" s="27" t="n"/>
      <c r="H16" s="27" t="n"/>
      <c r="I16" s="27" t="n"/>
      <c r="J16" s="14">
        <f>SUM(E16:I16)</f>
        <v/>
      </c>
      <c r="K16" s="28" t="n"/>
    </row>
    <row r="17">
      <c r="A17" s="13" t="inlineStr">
        <is>
          <t>A.12</t>
        </is>
      </c>
      <c r="B17" s="25" t="inlineStr">
        <is>
          <t>Ostatní licenční a infrastrukturní náklady</t>
        </is>
      </c>
      <c r="C17" s="25" t="inlineStr">
        <is>
          <t>Specifikujte v poznámce</t>
        </is>
      </c>
      <c r="D17" s="26" t="n"/>
      <c r="E17" s="27" t="n"/>
      <c r="F17" s="27" t="n"/>
      <c r="G17" s="27" t="n"/>
      <c r="H17" s="27" t="n"/>
      <c r="I17" s="27" t="n"/>
      <c r="J17" s="14">
        <f>SUM(E17:I17)</f>
        <v/>
      </c>
      <c r="K17" s="28" t="n"/>
    </row>
    <row r="18">
      <c r="B18" s="20" t="inlineStr">
        <is>
          <t>Mezisoučet</t>
        </is>
      </c>
      <c r="E18" s="17">
        <f>SUM(E6:E17)</f>
        <v/>
      </c>
      <c r="F18" s="17">
        <f>SUM(F6:F17)</f>
        <v/>
      </c>
      <c r="G18" s="17">
        <f>SUM(G6:G17)</f>
        <v/>
      </c>
      <c r="H18" s="17">
        <f>SUM(H6:H17)</f>
        <v/>
      </c>
      <c r="I18" s="17">
        <f>SUM(I6:I17)</f>
        <v/>
      </c>
      <c r="J18" s="17">
        <f>SUM(J6:J17)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D761"/>
  <dataValidations count="12">
    <dataValidation sqref="D6" showDropDown="0" showInputMessage="0" showErrorMessage="0" allowBlank="1" errorTitle="Neplatná hodnota" error="Vyberte hodnotu ze seznamu." type="list">
      <formula1>"V ceně (OEM),Nakupuje Banka,Nepotřebné,Zahrnuto jinde"</formula1>
    </dataValidation>
    <dataValidation sqref="D7" showDropDown="0" showInputMessage="0" showErrorMessage="0" allowBlank="1" errorTitle="Neplatná hodnota" error="Vyberte hodnotu ze seznamu." type="list">
      <formula1>"V ceně (OEM),Nakupuje Banka,Nepotřebné,Zahrnuto jinde"</formula1>
    </dataValidation>
    <dataValidation sqref="D8" showDropDown="0" showInputMessage="0" showErrorMessage="0" allowBlank="1" errorTitle="Neplatná hodnota" error="Vyberte hodnotu ze seznamu." type="list">
      <formula1>"V ceně (OEM),Nakupuje Banka,Nepotřebné,Zahrnuto jinde"</formula1>
    </dataValidation>
    <dataValidation sqref="D9" showDropDown="0" showInputMessage="0" showErrorMessage="0" allowBlank="1" errorTitle="Neplatná hodnota" error="Vyberte hodnotu ze seznamu." type="list">
      <formula1>"V ceně (OEM),Nakupuje Banka,Nepotřebné,Zahrnuto jinde"</formula1>
    </dataValidation>
    <dataValidation sqref="D10" showDropDown="0" showInputMessage="0" showErrorMessage="0" allowBlank="1" errorTitle="Neplatná hodnota" error="Vyberte hodnotu ze seznamu." type="list">
      <formula1>"V ceně (OEM),Nakupuje Banka,Nepotřebné,Zahrnuto jinde"</formula1>
    </dataValidation>
    <dataValidation sqref="D11" showDropDown="0" showInputMessage="0" showErrorMessage="0" allowBlank="1" errorTitle="Neplatná hodnota" error="Vyberte hodnotu ze seznamu." type="list">
      <formula1>"V ceně (OEM),Nakupuje Banka,Nepotřebné,Zahrnuto jinde"</formula1>
    </dataValidation>
    <dataValidation sqref="D12" showDropDown="0" showInputMessage="0" showErrorMessage="0" allowBlank="1" errorTitle="Neplatná hodnota" error="Vyberte hodnotu ze seznamu." type="list">
      <formula1>"V ceně (OEM),Nakupuje Banka,Nepotřebné,Zahrnuto jinde"</formula1>
    </dataValidation>
    <dataValidation sqref="D13" showDropDown="0" showInputMessage="0" showErrorMessage="0" allowBlank="1" errorTitle="Neplatná hodnota" error="Vyberte hodnotu ze seznamu." type="list">
      <formula1>"V ceně (OEM),Nakupuje Banka,Nepotřebné,Zahrnuto jinde"</formula1>
    </dataValidation>
    <dataValidation sqref="D14" showDropDown="0" showInputMessage="0" showErrorMessage="0" allowBlank="1" errorTitle="Neplatná hodnota" error="Vyberte hodnotu ze seznamu." type="list">
      <formula1>"V ceně (OEM),Nakupuje Banka,Nepotřebné,Zahrnuto jinde"</formula1>
    </dataValidation>
    <dataValidation sqref="D15" showDropDown="0" showInputMessage="0" showErrorMessage="0" allowBlank="1" errorTitle="Neplatná hodnota" error="Vyberte hodnotu ze seznamu." type="list">
      <formula1>"V ceně (OEM),Nakupuje Banka,Nepotřebné,Zahrnuto jinde"</formula1>
    </dataValidation>
    <dataValidation sqref="D16" showDropDown="0" showInputMessage="0" showErrorMessage="0" allowBlank="1" errorTitle="Neplatná hodnota" error="Vyberte hodnotu ze seznamu." type="list">
      <formula1>"V ceně (OEM),Nakupuje Banka,Nepotřebné,Zahrnuto jinde"</formula1>
    </dataValidation>
    <dataValidation sqref="D17" showDropDown="0" showInputMessage="0" showErrorMessage="0" allowBlank="1" errorTitle="Neplatná hodnota" error="Vyberte hodnotu ze seznamu." type="list">
      <formula1>"V ceně (OEM),Nakupuje Banka,Nepotřebné,Zahrnuto jinde"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22"/>
  <sheetViews>
    <sheetView workbookViewId="0">
      <pane xSplit="3" ySplit="5" topLeftCell="D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34" customWidth="1" min="2" max="2"/>
    <col width="50" customWidth="1" min="3" max="3"/>
    <col width="10" customWidth="1" min="4" max="4"/>
    <col width="14" customWidth="1" min="5" max="5"/>
    <col width="15" customWidth="1" min="6" max="6"/>
    <col width="10" customWidth="1" min="7" max="7"/>
    <col width="14" customWidth="1" min="8" max="8"/>
    <col width="14" customWidth="1" min="9" max="9"/>
    <col width="10" customWidth="1" min="10" max="10"/>
    <col width="10" customWidth="1" min="11" max="11"/>
    <col width="10" customWidth="1" min="12" max="12"/>
    <col width="34" customWidth="1" min="13" max="13"/>
  </cols>
  <sheetData>
    <row r="1">
      <c r="A1" s="1" t="inlineStr">
        <is>
          <t>B – Implementace a jednorázové služby</t>
        </is>
      </c>
    </row>
    <row r="2">
      <c r="A2" s="2" t="inlineStr">
        <is>
          <t>Horizont Privátní banka, a.s. · Projekt SENTINEL – výměna KYC/AML řešení</t>
        </is>
      </c>
    </row>
    <row r="3">
      <c r="A3" s="3" t="inlineStr">
        <is>
          <t>FIKTIVNÍ CVIČNÝ DOKUMENT – banka, osoby a dodavatelé jsou smyšlení.</t>
        </is>
      </c>
    </row>
    <row r="5">
      <c r="A5" s="12" t="inlineStr">
        <is>
          <t>Č.</t>
        </is>
      </c>
      <c r="B5" s="12" t="inlineStr">
        <is>
          <t>Položka</t>
        </is>
      </c>
      <c r="C5" s="12" t="inlineStr">
        <is>
          <t>Co musí obsahovat</t>
        </is>
      </c>
      <c r="D5" s="12" t="inlineStr">
        <is>
          <t>Počet MD</t>
        </is>
      </c>
      <c r="E5" s="12" t="inlineStr">
        <is>
          <t>Průměrná sazba (Kč/MD)</t>
        </is>
      </c>
      <c r="F5" s="12" t="inlineStr">
        <is>
          <t>Cena celkem</t>
        </is>
      </c>
      <c r="G5" s="12" t="inlineStr">
        <is>
          <t>Rok plnění (R1/R2)</t>
        </is>
      </c>
      <c r="H5" s="12" t="inlineStr">
        <is>
          <t>Rok 1</t>
        </is>
      </c>
      <c r="I5" s="12" t="inlineStr">
        <is>
          <t>Rok 2</t>
        </is>
      </c>
      <c r="J5" s="12" t="inlineStr">
        <is>
          <t>Rok 3</t>
        </is>
      </c>
      <c r="K5" s="12" t="inlineStr">
        <is>
          <t>Rok 4</t>
        </is>
      </c>
      <c r="L5" s="12" t="inlineStr">
        <is>
          <t>Rok 5</t>
        </is>
      </c>
      <c r="M5" s="12" t="inlineStr">
        <is>
          <t>Poznámka dodavatele</t>
        </is>
      </c>
    </row>
    <row r="6">
      <c r="A6" s="13" t="inlineStr">
        <is>
          <t>B.1</t>
        </is>
      </c>
      <c r="B6" s="25" t="inlineStr">
        <is>
          <t>Projektové řízení</t>
        </is>
      </c>
      <c r="C6" s="25" t="inlineStr">
        <is>
          <t>Po celou dobu implementace a hypercare</t>
        </is>
      </c>
      <c r="D6" s="29" t="n"/>
      <c r="E6" s="27" t="n"/>
      <c r="F6" s="14">
        <f>D6*E6</f>
        <v/>
      </c>
      <c r="G6" s="26" t="n"/>
      <c r="H6" s="14">
        <f>IF(G6="R1",F6,IF(G6="R1+R2",F6/2,0))</f>
        <v/>
      </c>
      <c r="I6" s="14">
        <f>IF(G6="R2",F6,IF(G6="R1+R2",F6/2,0))</f>
        <v/>
      </c>
      <c r="J6" s="14" t="n">
        <v>0</v>
      </c>
      <c r="K6" s="14" t="n">
        <v>0</v>
      </c>
      <c r="L6" s="14" t="n">
        <v>0</v>
      </c>
      <c r="M6" s="26" t="n"/>
    </row>
    <row r="7">
      <c r="A7" s="13" t="inlineStr">
        <is>
          <t>B.2</t>
        </is>
      </c>
      <c r="B7" s="25" t="inlineStr">
        <is>
          <t>Analýza a detailní návrh řešení</t>
        </is>
      </c>
      <c r="C7" s="25" t="inlineStr">
        <is>
          <t>Včetně workshopů s IT, Compliance, Legal a Obchodem</t>
        </is>
      </c>
      <c r="D7" s="29" t="n"/>
      <c r="E7" s="27" t="n"/>
      <c r="F7" s="14">
        <f>D7*E7</f>
        <v/>
      </c>
      <c r="G7" s="26" t="n"/>
      <c r="H7" s="14">
        <f>IF(G7="R1",F7,IF(G7="R1+R2",F7/2,0))</f>
        <v/>
      </c>
      <c r="I7" s="14">
        <f>IF(G7="R2",F7,IF(G7="R1+R2",F7/2,0))</f>
        <v/>
      </c>
      <c r="J7" s="14" t="n">
        <v>0</v>
      </c>
      <c r="K7" s="14" t="n">
        <v>0</v>
      </c>
      <c r="L7" s="14" t="n">
        <v>0</v>
      </c>
      <c r="M7" s="26" t="n"/>
    </row>
    <row r="8">
      <c r="A8" s="13" t="inlineStr">
        <is>
          <t>B.3</t>
        </is>
      </c>
      <c r="B8" s="25" t="inlineStr">
        <is>
          <t>Konfigurace produktu</t>
        </is>
      </c>
      <c r="C8" s="25" t="inlineStr">
        <is>
          <t>Rizikový model, scénáře TM, screening, workflow</t>
        </is>
      </c>
      <c r="D8" s="29" t="n"/>
      <c r="E8" s="27" t="n"/>
      <c r="F8" s="14">
        <f>D8*E8</f>
        <v/>
      </c>
      <c r="G8" s="26" t="n"/>
      <c r="H8" s="14">
        <f>IF(G8="R1",F8,IF(G8="R1+R2",F8/2,0))</f>
        <v/>
      </c>
      <c r="I8" s="14">
        <f>IF(G8="R2",F8,IF(G8="R1+R2",F8/2,0))</f>
        <v/>
      </c>
      <c r="J8" s="14" t="n">
        <v>0</v>
      </c>
      <c r="K8" s="14" t="n">
        <v>0</v>
      </c>
      <c r="L8" s="14" t="n">
        <v>0</v>
      </c>
      <c r="M8" s="26" t="n"/>
    </row>
    <row r="9">
      <c r="A9" s="13" t="inlineStr">
        <is>
          <t>B.4</t>
        </is>
      </c>
      <c r="B9" s="25" t="inlineStr">
        <is>
          <t>Custom vývoj</t>
        </is>
      </c>
      <c r="C9" s="25" t="inlineStr">
        <is>
          <t>Všechny požadavky označené v Matici jako Custom vývoj</t>
        </is>
      </c>
      <c r="D9" s="29" t="n"/>
      <c r="E9" s="27" t="n"/>
      <c r="F9" s="14">
        <f>D9*E9</f>
        <v/>
      </c>
      <c r="G9" s="26" t="n"/>
      <c r="H9" s="14">
        <f>IF(G9="R1",F9,IF(G9="R1+R2",F9/2,0))</f>
        <v/>
      </c>
      <c r="I9" s="14">
        <f>IF(G9="R2",F9,IF(G9="R1+R2",F9/2,0))</f>
        <v/>
      </c>
      <c r="J9" s="14" t="n">
        <v>0</v>
      </c>
      <c r="K9" s="14" t="n">
        <v>0</v>
      </c>
      <c r="L9" s="14" t="n">
        <v>0</v>
      </c>
      <c r="M9" s="26" t="n"/>
    </row>
    <row r="10">
      <c r="A10" s="13" t="inlineStr">
        <is>
          <t>B.5</t>
        </is>
      </c>
      <c r="B10" s="25" t="inlineStr">
        <is>
          <t>Integrace – CRM (REST, události)</t>
        </is>
      </c>
      <c r="C10" s="25" t="inlineStr">
        <is>
          <t>INT-001, KYC-011, CAS-003</t>
        </is>
      </c>
      <c r="D10" s="29" t="n"/>
      <c r="E10" s="27" t="n"/>
      <c r="F10" s="14">
        <f>D10*E10</f>
        <v/>
      </c>
      <c r="G10" s="26" t="n"/>
      <c r="H10" s="14">
        <f>IF(G10="R1",F10,IF(G10="R1+R2",F10/2,0))</f>
        <v/>
      </c>
      <c r="I10" s="14">
        <f>IF(G10="R2",F10,IF(G10="R1+R2",F10/2,0))</f>
        <v/>
      </c>
      <c r="J10" s="14" t="n">
        <v>0</v>
      </c>
      <c r="K10" s="14" t="n">
        <v>0</v>
      </c>
      <c r="L10" s="14" t="n">
        <v>0</v>
      </c>
      <c r="M10" s="26" t="n"/>
    </row>
    <row r="11">
      <c r="A11" s="13" t="inlineStr">
        <is>
          <t>B.6</t>
        </is>
      </c>
      <c r="B11" s="25" t="inlineStr">
        <is>
          <t>Integrace – core banking (Kafka)</t>
        </is>
      </c>
      <c r="C11" s="25" t="inlineStr">
        <is>
          <t>INT-002</t>
        </is>
      </c>
      <c r="D11" s="29" t="n"/>
      <c r="E11" s="27" t="n"/>
      <c r="F11" s="14">
        <f>D11*E11</f>
        <v/>
      </c>
      <c r="G11" s="26" t="n"/>
      <c r="H11" s="14">
        <f>IF(G11="R1",F11,IF(G11="R1+R2",F11/2,0))</f>
        <v/>
      </c>
      <c r="I11" s="14">
        <f>IF(G11="R2",F11,IF(G11="R1+R2",F11/2,0))</f>
        <v/>
      </c>
      <c r="J11" s="14" t="n">
        <v>0</v>
      </c>
      <c r="K11" s="14" t="n">
        <v>0</v>
      </c>
      <c r="L11" s="14" t="n">
        <v>0</v>
      </c>
      <c r="M11" s="26" t="n"/>
    </row>
    <row r="12">
      <c r="A12" s="13" t="inlineStr">
        <is>
          <t>B.7</t>
        </is>
      </c>
      <c r="B12" s="25" t="inlineStr">
        <is>
          <t>Integrace – platební systém</t>
        </is>
      </c>
      <c r="C12" s="25" t="inlineStr">
        <is>
          <t>INT-004</t>
        </is>
      </c>
      <c r="D12" s="29" t="n"/>
      <c r="E12" s="27" t="n"/>
      <c r="F12" s="14">
        <f>D12*E12</f>
        <v/>
      </c>
      <c r="G12" s="26" t="n"/>
      <c r="H12" s="14">
        <f>IF(G12="R1",F12,IF(G12="R1+R2",F12/2,0))</f>
        <v/>
      </c>
      <c r="I12" s="14">
        <f>IF(G12="R2",F12,IF(G12="R1+R2",F12/2,0))</f>
        <v/>
      </c>
      <c r="J12" s="14" t="n">
        <v>0</v>
      </c>
      <c r="K12" s="14" t="n">
        <v>0</v>
      </c>
      <c r="L12" s="14" t="n">
        <v>0</v>
      </c>
      <c r="M12" s="26" t="n"/>
    </row>
    <row r="13">
      <c r="A13" s="13" t="inlineStr">
        <is>
          <t>B.8</t>
        </is>
      </c>
      <c r="B13" s="25" t="inlineStr">
        <is>
          <t>Integrace – DWH, DMS, ESB, registry</t>
        </is>
      </c>
      <c r="C13" s="25" t="inlineStr">
        <is>
          <t>INT-003, INT-005, INT-006, INT-010</t>
        </is>
      </c>
      <c r="D13" s="29" t="n"/>
      <c r="E13" s="27" t="n"/>
      <c r="F13" s="14">
        <f>D13*E13</f>
        <v/>
      </c>
      <c r="G13" s="26" t="n"/>
      <c r="H13" s="14">
        <f>IF(G13="R1",F13,IF(G13="R1+R2",F13/2,0))</f>
        <v/>
      </c>
      <c r="I13" s="14">
        <f>IF(G13="R2",F13,IF(G13="R1+R2",F13/2,0))</f>
        <v/>
      </c>
      <c r="J13" s="14" t="n">
        <v>0</v>
      </c>
      <c r="K13" s="14" t="n">
        <v>0</v>
      </c>
      <c r="L13" s="14" t="n">
        <v>0</v>
      </c>
      <c r="M13" s="26" t="n"/>
    </row>
    <row r="14">
      <c r="A14" s="13" t="inlineStr">
        <is>
          <t>B.9</t>
        </is>
      </c>
      <c r="B14" s="25" t="inlineStr">
        <is>
          <t>Integrace – SIEM, monitoring, zálohování</t>
        </is>
      </c>
      <c r="C14" s="25" t="inlineStr">
        <is>
          <t>INT-007, INT-008; napojení na zálohovací řešení Banky</t>
        </is>
      </c>
      <c r="D14" s="29" t="n"/>
      <c r="E14" s="27" t="n"/>
      <c r="F14" s="14">
        <f>D14*E14</f>
        <v/>
      </c>
      <c r="G14" s="26" t="n"/>
      <c r="H14" s="14">
        <f>IF(G14="R1",F14,IF(G14="R1+R2",F14/2,0))</f>
        <v/>
      </c>
      <c r="I14" s="14">
        <f>IF(G14="R2",F14,IF(G14="R1+R2",F14/2,0))</f>
        <v/>
      </c>
      <c r="J14" s="14" t="n">
        <v>0</v>
      </c>
      <c r="K14" s="14" t="n">
        <v>0</v>
      </c>
      <c r="L14" s="14" t="n">
        <v>0</v>
      </c>
      <c r="M14" s="26" t="n"/>
    </row>
    <row r="15">
      <c r="A15" s="13" t="inlineStr">
        <is>
          <t>B.10</t>
        </is>
      </c>
      <c r="B15" s="25" t="inlineStr">
        <is>
          <t>Datová migrace – mapování, ETL, zkušební běhy</t>
        </is>
      </c>
      <c r="C15" s="25" t="inlineStr">
        <is>
          <t>MIG-001, MIG-003</t>
        </is>
      </c>
      <c r="D15" s="29" t="n"/>
      <c r="E15" s="27" t="n"/>
      <c r="F15" s="14">
        <f>D15*E15</f>
        <v/>
      </c>
      <c r="G15" s="26" t="n"/>
      <c r="H15" s="14">
        <f>IF(G15="R1",F15,IF(G15="R1+R2",F15/2,0))</f>
        <v/>
      </c>
      <c r="I15" s="14">
        <f>IF(G15="R2",F15,IF(G15="R1+R2",F15/2,0))</f>
        <v/>
      </c>
      <c r="J15" s="14" t="n">
        <v>0</v>
      </c>
      <c r="K15" s="14" t="n">
        <v>0</v>
      </c>
      <c r="L15" s="14" t="n">
        <v>0</v>
      </c>
      <c r="M15" s="26" t="n"/>
    </row>
    <row r="16">
      <c r="A16" s="13" t="inlineStr">
        <is>
          <t>B.11</t>
        </is>
      </c>
      <c r="B16" s="25" t="inlineStr">
        <is>
          <t>Datová migrace – rekonciliace a paralelní provoz</t>
        </is>
      </c>
      <c r="C16" s="25" t="inlineStr">
        <is>
          <t>MIG-002, MIG-004, min. 4 týdny paralelního běhu</t>
        </is>
      </c>
      <c r="D16" s="29" t="n"/>
      <c r="E16" s="27" t="n"/>
      <c r="F16" s="14">
        <f>D16*E16</f>
        <v/>
      </c>
      <c r="G16" s="26" t="n"/>
      <c r="H16" s="14">
        <f>IF(G16="R1",F16,IF(G16="R1+R2",F16/2,0))</f>
        <v/>
      </c>
      <c r="I16" s="14">
        <f>IF(G16="R2",F16,IF(G16="R1+R2",F16/2,0))</f>
        <v/>
      </c>
      <c r="J16" s="14" t="n">
        <v>0</v>
      </c>
      <c r="K16" s="14" t="n">
        <v>0</v>
      </c>
      <c r="L16" s="14" t="n">
        <v>0</v>
      </c>
      <c r="M16" s="26" t="n"/>
    </row>
    <row r="17">
      <c r="A17" s="13" t="inlineStr">
        <is>
          <t>B.12</t>
        </is>
      </c>
      <c r="B17" s="25" t="inlineStr">
        <is>
          <t>Podpora testování (SIT, UAT) a výkonnostní testy</t>
        </is>
      </c>
      <c r="C17" s="25" t="inlineStr">
        <is>
          <t>NFR-003, NFR-009</t>
        </is>
      </c>
      <c r="D17" s="29" t="n"/>
      <c r="E17" s="27" t="n"/>
      <c r="F17" s="14">
        <f>D17*E17</f>
        <v/>
      </c>
      <c r="G17" s="26" t="n"/>
      <c r="H17" s="14">
        <f>IF(G17="R1",F17,IF(G17="R1+R2",F17/2,0))</f>
        <v/>
      </c>
      <c r="I17" s="14">
        <f>IF(G17="R2",F17,IF(G17="R1+R2",F17/2,0))</f>
        <v/>
      </c>
      <c r="J17" s="14" t="n">
        <v>0</v>
      </c>
      <c r="K17" s="14" t="n">
        <v>0</v>
      </c>
      <c r="L17" s="14" t="n">
        <v>0</v>
      </c>
      <c r="M17" s="26" t="n"/>
    </row>
    <row r="18">
      <c r="A18" s="13" t="inlineStr">
        <is>
          <t>B.13</t>
        </is>
      </c>
      <c r="B18" s="25" t="inlineStr">
        <is>
          <t>Školení</t>
        </is>
      </c>
      <c r="C18" s="25" t="inlineStr">
        <is>
          <t>Train-the-trainer i koncoví uživatelé (Compliance, obchod, podpora, administrátoři)</t>
        </is>
      </c>
      <c r="D18" s="29" t="n"/>
      <c r="E18" s="27" t="n"/>
      <c r="F18" s="14">
        <f>D18*E18</f>
        <v/>
      </c>
      <c r="G18" s="26" t="n"/>
      <c r="H18" s="14">
        <f>IF(G18="R1",F18,IF(G18="R1+R2",F18/2,0))</f>
        <v/>
      </c>
      <c r="I18" s="14">
        <f>IF(G18="R2",F18,IF(G18="R1+R2",F18/2,0))</f>
        <v/>
      </c>
      <c r="J18" s="14" t="n">
        <v>0</v>
      </c>
      <c r="K18" s="14" t="n">
        <v>0</v>
      </c>
      <c r="L18" s="14" t="n">
        <v>0</v>
      </c>
      <c r="M18" s="26" t="n"/>
    </row>
    <row r="19">
      <c r="A19" s="13" t="inlineStr">
        <is>
          <t>B.14</t>
        </is>
      </c>
      <c r="B19" s="25" t="inlineStr">
        <is>
          <t>Dokumentace v češtině a angličtině</t>
        </is>
      </c>
      <c r="C19" s="25" t="inlineStr">
        <is>
          <t>Uživatelská, administrátorská, provozní, bezpečnostní dokumentace</t>
        </is>
      </c>
      <c r="D19" s="29" t="n"/>
      <c r="E19" s="27" t="n"/>
      <c r="F19" s="14">
        <f>D19*E19</f>
        <v/>
      </c>
      <c r="G19" s="26" t="n"/>
      <c r="H19" s="14">
        <f>IF(G19="R1",F19,IF(G19="R1+R2",F19/2,0))</f>
        <v/>
      </c>
      <c r="I19" s="14">
        <f>IF(G19="R2",F19,IF(G19="R1+R2",F19/2,0))</f>
        <v/>
      </c>
      <c r="J19" s="14" t="n">
        <v>0</v>
      </c>
      <c r="K19" s="14" t="n">
        <v>0</v>
      </c>
      <c r="L19" s="14" t="n">
        <v>0</v>
      </c>
      <c r="M19" s="26" t="n"/>
    </row>
    <row r="20">
      <c r="A20" s="13" t="inlineStr">
        <is>
          <t>B.15</t>
        </is>
      </c>
      <c r="B20" s="25" t="inlineStr">
        <is>
          <t>Hypercare po go-live</t>
        </is>
      </c>
      <c r="C20" s="25" t="inlineStr">
        <is>
          <t>Min. 3 měsíce zvýšené podpory</t>
        </is>
      </c>
      <c r="D20" s="29" t="n"/>
      <c r="E20" s="27" t="n"/>
      <c r="F20" s="14">
        <f>D20*E20</f>
        <v/>
      </c>
      <c r="G20" s="26" t="n"/>
      <c r="H20" s="14">
        <f>IF(G20="R1",F20,IF(G20="R1+R2",F20/2,0))</f>
        <v/>
      </c>
      <c r="I20" s="14">
        <f>IF(G20="R2",F20,IF(G20="R1+R2",F20/2,0))</f>
        <v/>
      </c>
      <c r="J20" s="14" t="n">
        <v>0</v>
      </c>
      <c r="K20" s="14" t="n">
        <v>0</v>
      </c>
      <c r="L20" s="14" t="n">
        <v>0</v>
      </c>
      <c r="M20" s="26" t="n"/>
    </row>
    <row r="21">
      <c r="A21" s="13" t="inlineStr">
        <is>
          <t>B.16</t>
        </is>
      </c>
      <c r="B21" s="25" t="inlineStr">
        <is>
          <t>Součinnost s penetračním testem a DPIA</t>
        </is>
      </c>
      <c r="C21" s="25" t="inlineStr">
        <is>
          <t>SEC-006, REG-004</t>
        </is>
      </c>
      <c r="D21" s="29" t="n"/>
      <c r="E21" s="27" t="n"/>
      <c r="F21" s="14">
        <f>D21*E21</f>
        <v/>
      </c>
      <c r="G21" s="26" t="n"/>
      <c r="H21" s="14">
        <f>IF(G21="R1",F21,IF(G21="R1+R2",F21/2,0))</f>
        <v/>
      </c>
      <c r="I21" s="14">
        <f>IF(G21="R2",F21,IF(G21="R1+R2",F21/2,0))</f>
        <v/>
      </c>
      <c r="J21" s="14" t="n">
        <v>0</v>
      </c>
      <c r="K21" s="14" t="n">
        <v>0</v>
      </c>
      <c r="L21" s="14" t="n">
        <v>0</v>
      </c>
      <c r="M21" s="26" t="n"/>
    </row>
    <row r="22">
      <c r="B22" s="20" t="inlineStr">
        <is>
          <t>Mezisoučet</t>
        </is>
      </c>
      <c r="D22" s="30">
        <f>SUM(D6:D21)</f>
        <v/>
      </c>
      <c r="F22" s="17">
        <f>SUM(F6:F21)</f>
        <v/>
      </c>
      <c r="H22" s="17">
        <f>SUM(H6:H21)</f>
        <v/>
      </c>
      <c r="I22" s="17">
        <f>SUM(I6:I21)</f>
        <v/>
      </c>
      <c r="J22" s="17">
        <f>SUM(J6:J21)</f>
        <v/>
      </c>
      <c r="K22" s="17">
        <f>SUM(K6:K21)</f>
        <v/>
      </c>
      <c r="L22" s="17">
        <f>SUM(L6:L21)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D761"/>
  <dataValidations count="1">
    <dataValidation sqref="G6:G21" showDropDown="0" showInputMessage="1" showErrorMessage="0" allowBlank="1" errorTitle="Neplatná hodnota" error="Vyberte hodnotu ze seznamu." prompt="R1 = rok 1, R2 = rok 2, R1+R2 = rovným dílem" type="list">
      <formula1>"R1,R2,R1+R2"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pane xSplit="3" ySplit="5" topLeftCell="D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38" customWidth="1" min="2" max="2"/>
    <col width="52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6" customWidth="1" min="9" max="9"/>
    <col width="36" customWidth="1" min="10" max="10"/>
  </cols>
  <sheetData>
    <row r="1">
      <c r="A1" s="1" t="inlineStr">
        <is>
          <t>C – Provoz, podpora a rozvoj</t>
        </is>
      </c>
    </row>
    <row r="2">
      <c r="A2" s="2" t="inlineStr">
        <is>
          <t>Horizont Privátní banka, a.s. · Projekt SENTINEL – výměna KYC/AML řešení</t>
        </is>
      </c>
    </row>
    <row r="3">
      <c r="A3" s="3" t="inlineStr">
        <is>
          <t>FIKTIVNÍ CVIČNÝ DOKUMENT – banka, osoby a dodavatelé jsou smyšlení.</t>
        </is>
      </c>
    </row>
    <row r="5">
      <c r="A5" s="12" t="inlineStr">
        <is>
          <t>Č.</t>
        </is>
      </c>
      <c r="B5" s="12" t="inlineStr">
        <is>
          <t>Položka</t>
        </is>
      </c>
      <c r="C5" s="12" t="inlineStr">
        <is>
          <t>Popis / co musí obsahovat</t>
        </is>
      </c>
      <c r="D5" s="12" t="inlineStr">
        <is>
          <t>Rok 1</t>
        </is>
      </c>
      <c r="E5" s="12" t="inlineStr">
        <is>
          <t>Rok 2</t>
        </is>
      </c>
      <c r="F5" s="12" t="inlineStr">
        <is>
          <t>Rok 3</t>
        </is>
      </c>
      <c r="G5" s="12" t="inlineStr">
        <is>
          <t>Rok 4</t>
        </is>
      </c>
      <c r="H5" s="12" t="inlineStr">
        <is>
          <t>Rok 5</t>
        </is>
      </c>
      <c r="I5" s="12" t="inlineStr">
        <is>
          <t>Celkem 5 let</t>
        </is>
      </c>
      <c r="J5" s="12" t="inlineStr">
        <is>
          <t>Poznámka dodavatele</t>
        </is>
      </c>
    </row>
    <row r="6">
      <c r="A6" s="13" t="inlineStr">
        <is>
          <t>C.1</t>
        </is>
      </c>
      <c r="B6" s="25" t="inlineStr">
        <is>
          <t>Maintenance a podpora L2/L3 dle SLA (Příloha 4)</t>
        </is>
      </c>
      <c r="C6" s="25" t="inlineStr">
        <is>
          <t>Včetně 24/7 pro P1 a P2 incidenty</t>
        </is>
      </c>
      <c r="D6" s="27" t="n"/>
      <c r="E6" s="27" t="n"/>
      <c r="F6" s="27" t="n"/>
      <c r="G6" s="27" t="n"/>
      <c r="H6" s="27" t="n"/>
      <c r="I6" s="14">
        <f>SUM(D6:H6)</f>
        <v/>
      </c>
      <c r="J6" s="28" t="n"/>
    </row>
    <row r="7">
      <c r="A7" s="13" t="inlineStr">
        <is>
          <t>C.2</t>
        </is>
      </c>
      <c r="B7" s="25" t="inlineStr">
        <is>
          <t>Upgrady a nové verze produktu</t>
        </is>
      </c>
      <c r="C7" s="25" t="inlineStr">
        <is>
          <t>Včetně migrace konfigurace na novou verzi</t>
        </is>
      </c>
      <c r="D7" s="27" t="n"/>
      <c r="E7" s="27" t="n"/>
      <c r="F7" s="27" t="n"/>
      <c r="G7" s="27" t="n"/>
      <c r="H7" s="27" t="n"/>
      <c r="I7" s="14">
        <f>SUM(D7:H7)</f>
        <v/>
      </c>
      <c r="J7" s="28" t="n"/>
    </row>
    <row r="8">
      <c r="A8" s="13" t="inlineStr">
        <is>
          <t>C.3</t>
        </is>
      </c>
      <c r="B8" s="25" t="inlineStr">
        <is>
          <t>Provozní služby (managed service), pokud jsou nabízeny</t>
        </is>
      </c>
      <c r="C8" s="25" t="inlineStr">
        <is>
          <t>Jinak 0</t>
        </is>
      </c>
      <c r="D8" s="27" t="n"/>
      <c r="E8" s="27" t="n"/>
      <c r="F8" s="27" t="n"/>
      <c r="G8" s="27" t="n"/>
      <c r="H8" s="27" t="n"/>
      <c r="I8" s="14">
        <f>SUM(D8:H8)</f>
        <v/>
      </c>
      <c r="J8" s="28" t="n"/>
    </row>
    <row r="9">
      <c r="A9" s="13" t="inlineStr">
        <is>
          <t>C.4</t>
        </is>
      </c>
      <c r="B9" s="25" t="inlineStr">
        <is>
          <t>Hosting privátního cloudu – provozní poplatek</t>
        </is>
      </c>
      <c r="C9" s="25" t="inlineStr">
        <is>
          <t>Jinak 0</t>
        </is>
      </c>
      <c r="D9" s="27" t="n"/>
      <c r="E9" s="27" t="n"/>
      <c r="F9" s="27" t="n"/>
      <c r="G9" s="27" t="n"/>
      <c r="H9" s="27" t="n"/>
      <c r="I9" s="14">
        <f>SUM(D9:H9)</f>
        <v/>
      </c>
      <c r="J9" s="28" t="n"/>
    </row>
    <row r="10">
      <c r="A10" s="13" t="inlineStr">
        <is>
          <t>C.5</t>
        </is>
      </c>
      <c r="B10" s="25" t="inlineStr">
        <is>
          <t>Aktualizace dokumentace při každém releasu</t>
        </is>
      </c>
      <c r="C10" s="25" t="inlineStr">
        <is>
          <t>CZ/EN</t>
        </is>
      </c>
      <c r="D10" s="27" t="n"/>
      <c r="E10" s="27" t="n"/>
      <c r="F10" s="27" t="n"/>
      <c r="G10" s="27" t="n"/>
      <c r="H10" s="27" t="n"/>
      <c r="I10" s="14">
        <f>SUM(D10:H10)</f>
        <v/>
      </c>
      <c r="J10" s="28" t="n"/>
    </row>
    <row r="11">
      <c r="A11" s="13" t="inlineStr">
        <is>
          <t>C.6</t>
        </is>
      </c>
      <c r="B11" s="25" t="inlineStr">
        <is>
          <t>Ostatní opakované náklady</t>
        </is>
      </c>
      <c r="C11" s="25" t="inlineStr">
        <is>
          <t>Specifikujte v poznámce</t>
        </is>
      </c>
      <c r="D11" s="27" t="n"/>
      <c r="E11" s="27" t="n"/>
      <c r="F11" s="27" t="n"/>
      <c r="G11" s="27" t="n"/>
      <c r="H11" s="27" t="n"/>
      <c r="I11" s="14">
        <f>SUM(D11:H11)</f>
        <v/>
      </c>
      <c r="J11" s="28" t="n"/>
    </row>
    <row r="12">
      <c r="A12" s="13" t="inlineStr">
        <is>
          <t>C.7</t>
        </is>
      </c>
      <c r="B12" s="25" t="inlineStr">
        <is>
          <t>Rozvojová kapacita (change requesty)</t>
        </is>
      </c>
      <c r="C12" s="25" t="inlineStr">
        <is>
          <t>Vypočteno: 120 MD/rok × blended sazba z listu D (needitovat)</t>
        </is>
      </c>
      <c r="D12" s="14">
        <f>'Předpoklady'!$B$17*'D_Rate_card'!C15</f>
        <v/>
      </c>
      <c r="E12" s="14">
        <f>'Předpoklady'!$B$17*'D_Rate_card'!D15</f>
        <v/>
      </c>
      <c r="F12" s="14">
        <f>'Předpoklady'!$B$17*'D_Rate_card'!E15</f>
        <v/>
      </c>
      <c r="G12" s="14">
        <f>'Předpoklady'!$B$17*'D_Rate_card'!F15</f>
        <v/>
      </c>
      <c r="H12" s="14">
        <f>'Předpoklady'!$B$17*'D_Rate_card'!G15</f>
        <v/>
      </c>
      <c r="I12" s="14">
        <f>SUM(D12:H12)</f>
        <v/>
      </c>
      <c r="J12" s="13" t="n"/>
    </row>
    <row r="13">
      <c r="B13" s="20" t="inlineStr">
        <is>
          <t>Mezisoučet</t>
        </is>
      </c>
      <c r="D13" s="17">
        <f>SUM(D6:D12)</f>
        <v/>
      </c>
      <c r="E13" s="17">
        <f>SUM(E6:E12)</f>
        <v/>
      </c>
      <c r="F13" s="17">
        <f>SUM(F6:F12)</f>
        <v/>
      </c>
      <c r="G13" s="17">
        <f>SUM(G6:G12)</f>
        <v/>
      </c>
      <c r="H13" s="17">
        <f>SUM(H6:H12)</f>
        <v/>
      </c>
      <c r="I13" s="17">
        <f>SUM(I6:I12)</f>
        <v/>
      </c>
    </row>
    <row r="15">
      <c r="B15" s="31" t="inlineStr">
        <is>
          <t>Potvrzení dodavatele (vyřazovací)</t>
        </is>
      </c>
    </row>
    <row r="16" ht="30" customHeight="1">
      <c r="B16" s="5" t="inlineStr">
        <is>
          <t>Legislativní údržba (AML zákon, vyhlášky ČNB, AMLR/AMLA) je zahrnuta v C.1 bez dalších poplatků</t>
        </is>
      </c>
      <c r="D16" s="10" t="n"/>
    </row>
    <row r="17" ht="30" customHeight="1">
      <c r="B17" s="5" t="inlineStr">
        <is>
          <t>Oprava kritických a vysokých zranitelností v dodaném kódu je zahrnuta v C.1 bez dalších poplatků</t>
        </is>
      </c>
      <c r="D17" s="10" t="n"/>
    </row>
    <row r="18" ht="30" customHeight="1">
      <c r="B18" s="5" t="inlineStr">
        <is>
          <t>Non-PROD prostředí (DEV, SIT, UAT, PreProd) jsou oceněna v listu A</t>
        </is>
      </c>
      <c r="D18" s="10" t="n"/>
    </row>
    <row r="19" ht="30" customHeight="1">
      <c r="B19" s="5" t="inlineStr">
        <is>
          <t>Ceny nezávisí na kurzu ani na neuvedených předpokladech</t>
        </is>
      </c>
      <c r="D19" s="10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D761"/>
  <mergeCells count="4">
    <mergeCell ref="B18:C18"/>
    <mergeCell ref="B19:C19"/>
    <mergeCell ref="B16:C16"/>
    <mergeCell ref="B17:C17"/>
  </mergeCells>
  <dataValidations count="4">
    <dataValidation sqref="D16" showDropDown="0" showInputMessage="0" showErrorMessage="0" allowBlank="1" errorTitle="Neplatná hodnota" error="Vyberte hodnotu ze seznamu." type="list">
      <formula1>"Ano,Ne"</formula1>
    </dataValidation>
    <dataValidation sqref="D17" showDropDown="0" showInputMessage="0" showErrorMessage="0" allowBlank="1" errorTitle="Neplatná hodnota" error="Vyberte hodnotu ze seznamu." type="list">
      <formula1>"Ano,Ne"</formula1>
    </dataValidation>
    <dataValidation sqref="D18" showDropDown="0" showInputMessage="0" showErrorMessage="0" allowBlank="1" errorTitle="Neplatná hodnota" error="Vyberte hodnotu ze seznamu." type="list">
      <formula1>"Ano,Ne"</formula1>
    </dataValidation>
    <dataValidation sqref="D19" showDropDown="0" showInputMessage="0" showErrorMessage="0" allowBlank="1" errorTitle="Neplatná hodnota" error="Vyberte hodnotu ze seznamu." type="list">
      <formula1>"Ano,Ne"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cols>
    <col width="34" customWidth="1" min="1" max="1"/>
    <col width="14" customWidth="1" min="2" max="2"/>
    <col width="16" customWidth="1" min="3" max="3"/>
    <col width="14" customWidth="1" min="4" max="4"/>
    <col width="14" customWidth="1" min="5" max="5"/>
    <col width="14" customWidth="1" min="6" max="6"/>
    <col width="14" customWidth="1" min="7" max="7"/>
    <col width="30" customWidth="1" min="8" max="8"/>
  </cols>
  <sheetData>
    <row r="1">
      <c r="A1" s="1" t="inlineStr">
        <is>
          <t>D – Závazná rate card a inflační doložka</t>
        </is>
      </c>
    </row>
    <row r="2">
      <c r="A2" s="2" t="inlineStr">
        <is>
          <t>Horizont Privátní banka, a.s. · Projekt SENTINEL – výměna KYC/AML řešení</t>
        </is>
      </c>
    </row>
    <row r="3">
      <c r="A3" s="3" t="inlineStr">
        <is>
          <t>FIKTIVNÍ CVIČNÝ DOKUMENT – banka, osoby a dodavatelé jsou smyšlení.</t>
        </is>
      </c>
    </row>
    <row r="5">
      <c r="A5" s="12" t="inlineStr">
        <is>
          <t>Role</t>
        </is>
      </c>
      <c r="B5" s="12" t="inlineStr">
        <is>
          <t>Mix pro rozvoj (Banka)</t>
        </is>
      </c>
      <c r="C5" s="12" t="inlineStr">
        <is>
          <t>Sazba rok 1 (Kč/MD)</t>
        </is>
      </c>
      <c r="D5" s="12" t="inlineStr">
        <is>
          <t>Rok 2</t>
        </is>
      </c>
      <c r="E5" s="12" t="inlineStr">
        <is>
          <t>Rok 3</t>
        </is>
      </c>
      <c r="F5" s="12" t="inlineStr">
        <is>
          <t>Rok 4</t>
        </is>
      </c>
      <c r="G5" s="12" t="inlineStr">
        <is>
          <t>Rok 5</t>
        </is>
      </c>
      <c r="H5" s="12" t="inlineStr">
        <is>
          <t>Poznámka</t>
        </is>
      </c>
    </row>
    <row r="6">
      <c r="A6" s="13" t="inlineStr">
        <is>
          <t>Projektový manažer</t>
        </is>
      </c>
      <c r="B6" s="32" t="n">
        <v>0.1</v>
      </c>
      <c r="C6" s="27" t="n"/>
      <c r="D6" s="14">
        <f>C6*(1+$C$18)</f>
        <v/>
      </c>
      <c r="E6" s="14">
        <f>D6*(1+$C$18)</f>
        <v/>
      </c>
      <c r="F6" s="14">
        <f>E6*(1+$C$18)</f>
        <v/>
      </c>
      <c r="G6" s="14">
        <f>F6*(1+$C$18)</f>
        <v/>
      </c>
      <c r="H6" s="26" t="n"/>
    </row>
    <row r="7">
      <c r="A7" s="13" t="inlineStr">
        <is>
          <t>Business analytik</t>
        </is>
      </c>
      <c r="B7" s="32" t="n">
        <v>0.15</v>
      </c>
      <c r="C7" s="27" t="n"/>
      <c r="D7" s="14">
        <f>C7*(1+$C$18)</f>
        <v/>
      </c>
      <c r="E7" s="14">
        <f>D7*(1+$C$18)</f>
        <v/>
      </c>
      <c r="F7" s="14">
        <f>E7*(1+$C$18)</f>
        <v/>
      </c>
      <c r="G7" s="14">
        <f>F7*(1+$C$18)</f>
        <v/>
      </c>
      <c r="H7" s="26" t="n"/>
    </row>
    <row r="8">
      <c r="A8" s="13" t="inlineStr">
        <is>
          <t>Solution architekt</t>
        </is>
      </c>
      <c r="B8" s="32" t="n">
        <v>0.1</v>
      </c>
      <c r="C8" s="27" t="n"/>
      <c r="D8" s="14">
        <f>C8*(1+$C$18)</f>
        <v/>
      </c>
      <c r="E8" s="14">
        <f>D8*(1+$C$18)</f>
        <v/>
      </c>
      <c r="F8" s="14">
        <f>E8*(1+$C$18)</f>
        <v/>
      </c>
      <c r="G8" s="14">
        <f>F8*(1+$C$18)</f>
        <v/>
      </c>
      <c r="H8" s="26" t="n"/>
    </row>
    <row r="9">
      <c r="A9" s="13" t="inlineStr">
        <is>
          <t>Vývojář</t>
        </is>
      </c>
      <c r="B9" s="32" t="n">
        <v>0.3</v>
      </c>
      <c r="C9" s="27" t="n"/>
      <c r="D9" s="14">
        <f>C9*(1+$C$18)</f>
        <v/>
      </c>
      <c r="E9" s="14">
        <f>D9*(1+$C$18)</f>
        <v/>
      </c>
      <c r="F9" s="14">
        <f>E9*(1+$C$18)</f>
        <v/>
      </c>
      <c r="G9" s="14">
        <f>F9*(1+$C$18)</f>
        <v/>
      </c>
      <c r="H9" s="26" t="n"/>
    </row>
    <row r="10">
      <c r="A10" s="13" t="inlineStr">
        <is>
          <t>Tester</t>
        </is>
      </c>
      <c r="B10" s="32" t="n">
        <v>0.15</v>
      </c>
      <c r="C10" s="27" t="n"/>
      <c r="D10" s="14">
        <f>C10*(1+$C$18)</f>
        <v/>
      </c>
      <c r="E10" s="14">
        <f>D10*(1+$C$18)</f>
        <v/>
      </c>
      <c r="F10" s="14">
        <f>E10*(1+$C$18)</f>
        <v/>
      </c>
      <c r="G10" s="14">
        <f>F10*(1+$C$18)</f>
        <v/>
      </c>
      <c r="H10" s="26" t="n"/>
    </row>
    <row r="11">
      <c r="A11" s="13" t="inlineStr">
        <is>
          <t>Datový specialista (migrace)</t>
        </is>
      </c>
      <c r="B11" s="32" t="n">
        <v>0.05</v>
      </c>
      <c r="C11" s="27" t="n"/>
      <c r="D11" s="14">
        <f>C11*(1+$C$18)</f>
        <v/>
      </c>
      <c r="E11" s="14">
        <f>D11*(1+$C$18)</f>
        <v/>
      </c>
      <c r="F11" s="14">
        <f>E11*(1+$C$18)</f>
        <v/>
      </c>
      <c r="G11" s="14">
        <f>F11*(1+$C$18)</f>
        <v/>
      </c>
      <c r="H11" s="26" t="n"/>
    </row>
    <row r="12">
      <c r="A12" s="13" t="inlineStr">
        <is>
          <t>AML doménový konzultant</t>
        </is>
      </c>
      <c r="B12" s="32" t="n">
        <v>0.05</v>
      </c>
      <c r="C12" s="27" t="n"/>
      <c r="D12" s="14">
        <f>C12*(1+$C$18)</f>
        <v/>
      </c>
      <c r="E12" s="14">
        <f>D12*(1+$C$18)</f>
        <v/>
      </c>
      <c r="F12" s="14">
        <f>E12*(1+$C$18)</f>
        <v/>
      </c>
      <c r="G12" s="14">
        <f>F12*(1+$C$18)</f>
        <v/>
      </c>
      <c r="H12" s="26" t="n"/>
    </row>
    <row r="13">
      <c r="A13" s="13" t="inlineStr">
        <is>
          <t>Specialista provozu / DevOps</t>
        </is>
      </c>
      <c r="B13" s="32" t="n">
        <v>0.05</v>
      </c>
      <c r="C13" s="27" t="n"/>
      <c r="D13" s="14">
        <f>C13*(1+$C$18)</f>
        <v/>
      </c>
      <c r="E13" s="14">
        <f>D13*(1+$C$18)</f>
        <v/>
      </c>
      <c r="F13" s="14">
        <f>E13*(1+$C$18)</f>
        <v/>
      </c>
      <c r="G13" s="14">
        <f>F13*(1+$C$18)</f>
        <v/>
      </c>
      <c r="H13" s="26" t="n"/>
    </row>
    <row r="14">
      <c r="A14" s="13" t="inlineStr">
        <is>
          <t>Bezpečnostní specialista</t>
        </is>
      </c>
      <c r="B14" s="32" t="n">
        <v>0.05</v>
      </c>
      <c r="C14" s="27" t="n"/>
      <c r="D14" s="14">
        <f>C14*(1+$C$18)</f>
        <v/>
      </c>
      <c r="E14" s="14">
        <f>D14*(1+$C$18)</f>
        <v/>
      </c>
      <c r="F14" s="14">
        <f>E14*(1+$C$18)</f>
        <v/>
      </c>
      <c r="G14" s="14">
        <f>F14*(1+$C$18)</f>
        <v/>
      </c>
      <c r="H14" s="26" t="n"/>
    </row>
    <row r="15">
      <c r="A15" s="20" t="inlineStr">
        <is>
          <t>Vážená průměrná sazba (blended)</t>
        </is>
      </c>
      <c r="B15" s="33">
        <f>SUM(B6:B14)</f>
        <v/>
      </c>
      <c r="C15" s="17">
        <f>SUMPRODUCT($B$6:$B$14,C6:C14)</f>
        <v/>
      </c>
      <c r="D15" s="17">
        <f>SUMPRODUCT($B$6:$B$14,D6:D14)</f>
        <v/>
      </c>
      <c r="E15" s="17">
        <f>SUMPRODUCT($B$6:$B$14,E6:E14)</f>
        <v/>
      </c>
      <c r="F15" s="17">
        <f>SUMPRODUCT($B$6:$B$14,F6:F14)</f>
        <v/>
      </c>
      <c r="G15" s="17">
        <f>SUMPRODUCT($B$6:$B$14,G6:G14)</f>
        <v/>
      </c>
    </row>
    <row r="17">
      <c r="A17" t="inlineStr">
        <is>
          <t>Navrhovaná roční indexace sazeb (dodavatel)</t>
        </is>
      </c>
      <c r="C17" s="34" t="n"/>
    </row>
    <row r="18">
      <c r="A18" t="inlineStr">
        <is>
          <t>Uplatněná indexace = MIN(navrhovaná; strop 5 %)</t>
        </is>
      </c>
      <c r="C18" s="35">
        <f>MIN(C17,0.05)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D76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pane xSplit="3" ySplit="5" topLeftCell="D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38" customWidth="1" min="2" max="2"/>
    <col width="52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6" customWidth="1" min="9" max="9"/>
    <col width="36" customWidth="1" min="10" max="10"/>
  </cols>
  <sheetData>
    <row r="1">
      <c r="A1" s="1" t="inlineStr">
        <is>
          <t>E – Exit a ukončení (ochrana proti vendor lock-in)</t>
        </is>
      </c>
    </row>
    <row r="2">
      <c r="A2" s="2" t="inlineStr">
        <is>
          <t>Horizont Privátní banka, a.s. · Projekt SENTINEL – výměna KYC/AML řešení</t>
        </is>
      </c>
    </row>
    <row r="3">
      <c r="A3" s="3" t="inlineStr">
        <is>
          <t>FIKTIVNÍ CVIČNÝ DOKUMENT – banka, osoby a dodavatelé jsou smyšlení.</t>
        </is>
      </c>
    </row>
    <row r="5">
      <c r="A5" s="12" t="inlineStr">
        <is>
          <t>Č.</t>
        </is>
      </c>
      <c r="B5" s="12" t="inlineStr">
        <is>
          <t>Položka</t>
        </is>
      </c>
      <c r="C5" s="12" t="inlineStr">
        <is>
          <t>Popis / co musí obsahovat</t>
        </is>
      </c>
      <c r="D5" s="12" t="inlineStr">
        <is>
          <t>Rok 1</t>
        </is>
      </c>
      <c r="E5" s="12" t="inlineStr">
        <is>
          <t>Rok 2</t>
        </is>
      </c>
      <c r="F5" s="12" t="inlineStr">
        <is>
          <t>Rok 3</t>
        </is>
      </c>
      <c r="G5" s="12" t="inlineStr">
        <is>
          <t>Rok 4</t>
        </is>
      </c>
      <c r="H5" s="12" t="inlineStr">
        <is>
          <t>Rok 5</t>
        </is>
      </c>
      <c r="I5" s="12" t="inlineStr">
        <is>
          <t>Celkem 5 let</t>
        </is>
      </c>
      <c r="J5" s="12" t="inlineStr">
        <is>
          <t>Poznámka dodavatele</t>
        </is>
      </c>
    </row>
    <row r="6">
      <c r="A6" s="13" t="inlineStr">
        <is>
          <t>E.1</t>
        </is>
      </c>
      <c r="B6" s="25" t="inlineStr">
        <is>
          <t>Součinnost při ukončení smlouvy</t>
        </is>
      </c>
      <c r="C6" s="25" t="inlineStr">
        <is>
          <t>Min. 12 měsíců exitové součinnosti dle LEG-006 – ocenit v roce 5</t>
        </is>
      </c>
      <c r="D6" s="27" t="n"/>
      <c r="E6" s="27" t="n"/>
      <c r="F6" s="27" t="n"/>
      <c r="G6" s="27" t="n"/>
      <c r="H6" s="27" t="n"/>
      <c r="I6" s="14">
        <f>SUM(D6:H6)</f>
        <v/>
      </c>
      <c r="J6" s="28" t="n"/>
    </row>
    <row r="7">
      <c r="A7" s="13" t="inlineStr">
        <is>
          <t>E.2</t>
        </is>
      </c>
      <c r="B7" s="25" t="inlineStr">
        <is>
          <t>Export všech dat v otevřeném strojově čitelném formátu</t>
        </is>
      </c>
      <c r="C7" s="25" t="inlineStr">
        <is>
          <t>Kompletní data, konfigurace, auditní stopy, dokumentace datového modelu</t>
        </is>
      </c>
      <c r="D7" s="27" t="n"/>
      <c r="E7" s="27" t="n"/>
      <c r="F7" s="27" t="n"/>
      <c r="G7" s="27" t="n"/>
      <c r="H7" s="27" t="n"/>
      <c r="I7" s="14">
        <f>SUM(D7:H7)</f>
        <v/>
      </c>
      <c r="J7" s="28" t="n"/>
    </row>
    <row r="8">
      <c r="A8" s="13" t="inlineStr">
        <is>
          <t>E.3</t>
        </is>
      </c>
      <c r="B8" s="25" t="inlineStr">
        <is>
          <t>Prodloužení licencí po dobu přechodu (6 měsíců)</t>
        </is>
      </c>
      <c r="C8" s="25" t="inlineStr">
        <is>
          <t>Pro souběh s novým řešením</t>
        </is>
      </c>
      <c r="D8" s="27" t="n"/>
      <c r="E8" s="27" t="n"/>
      <c r="F8" s="27" t="n"/>
      <c r="G8" s="27" t="n"/>
      <c r="H8" s="27" t="n"/>
      <c r="I8" s="14">
        <f>SUM(D8:H8)</f>
        <v/>
      </c>
      <c r="J8" s="28" t="n"/>
    </row>
    <row r="9">
      <c r="B9" s="20" t="inlineStr">
        <is>
          <t>Mezisoučet</t>
        </is>
      </c>
      <c r="D9" s="17">
        <f>SUM(D6:D8)</f>
        <v/>
      </c>
      <c r="E9" s="17">
        <f>SUM(E6:E8)</f>
        <v/>
      </c>
      <c r="F9" s="17">
        <f>SUM(F6:F8)</f>
        <v/>
      </c>
      <c r="G9" s="17">
        <f>SUM(G6:G8)</f>
        <v/>
      </c>
      <c r="H9" s="17">
        <f>SUM(H6:H8)</f>
        <v/>
      </c>
      <c r="I9" s="17">
        <f>SUM(I6:I8)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D76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2026-10-06T09:49:34Z</dcterms:created>
  <dcterms:modified xmlns:dcterms="http://purl.org/dc/terms/" xmlns:xsi="http://www.w3.org/2001/XMLSchema-instance" xsi:type="dcterms:W3CDTF">2026-10-06T09:49:35Z</dcterms:modified>
</cp:coreProperties>
</file>