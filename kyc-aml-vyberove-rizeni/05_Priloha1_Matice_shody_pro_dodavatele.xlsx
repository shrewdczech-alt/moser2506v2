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ožadavky" sheetId="2" state="visible" r:id="rId2"/>
    <sheet xmlns:r="http://schemas.openxmlformats.org/officeDocument/2006/relationships" name="Souhrn" sheetId="3" state="visible" r:id="rId3"/>
    <sheet xmlns:r="http://schemas.openxmlformats.org/officeDocument/2006/relationships" name="Číselníky" sheetId="4" state="visible" r:id="rId4"/>
  </sheets>
  <definedNames>
    <definedName name="_xlnm._FilterDatabase" localSheetId="1" hidden="1">'Požadavky'!$A$5:$M$100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2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applyProtection="1" pivotButton="0" quotePrefix="0" xfId="0">
      <alignment horizontal="center"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0" fillId="5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Příloha 1 – Matice shody (vyplňuje uchazeč)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B5" s="4" t="inlineStr">
        <is>
          <t>Pokyny pro uchazeče</t>
        </is>
      </c>
    </row>
    <row r="6">
      <c r="B6" s="5" t="inlineStr">
        <is>
          <t>1) Ke každému požadavku vyberte ve sloupci „Odpověď dodavatele“ právě jednu normovanou hodnotu.</t>
        </is>
      </c>
    </row>
    <row r="7">
      <c r="B7" s="5" t="inlineStr">
        <is>
          <t xml:space="preserve">   OOTB = funkce je ve standardním produktu, stačí zapnout · Konfigurace = nastavení v UI bez programování · Custom vývoj = vyžaduje vývoj nad rámec produktu · 3rd party = zajišťuje produkt třetí strany · Nesplněno.</t>
        </is>
      </c>
    </row>
    <row r="8">
      <c r="B8" s="5" t="inlineStr">
        <is>
          <t xml:space="preserve">   U smluvních podmínek (LEG-*, REG-001): Akceptuje / Akceptuje s výhradou / Neakceptuje. Výhradu popište v komentáři.</t>
        </is>
      </c>
    </row>
    <row r="9">
      <c r="B9" s="5" t="inlineStr">
        <is>
          <t>2) Ve sloupci „Komentář dodavatele“ stručně popište, jak je požadavek splněn (modul, verze, omezení).</t>
        </is>
      </c>
    </row>
    <row r="10">
      <c r="B10" s="5" t="inlineStr">
        <is>
          <t>3) U odpovědí OOTB, Konfigurace a Custom vývoj je POVINNÝ odkaz na kapitolu Feasibility Study (Příloha 2). Bez odkazu se požadavek považuje za nesplněný. Sloupec „Křížová kontrola FS“ vám chybějící odkazy ukáže.</t>
        </is>
      </c>
    </row>
    <row r="11">
      <c r="B11" s="5" t="inlineStr">
        <is>
          <t>4) Uvedená tvrzení budou ověřena ve skriptovaném demu a jsou závazná – stanou se součástí smlouvy.</t>
        </is>
      </c>
    </row>
    <row r="12">
      <c r="B12" s="5" t="inlineStr">
        <is>
          <t>5) Nevyplňujte ani neměňte modré buňky. List je uzamčen; editovatelné jsou pouze žluté buňky.</t>
        </is>
      </c>
    </row>
    <row r="13">
      <c r="B13" s="5" t="inlineStr">
        <is>
          <t>6) K.O. kritéria se hodnotí Pass/Fail. Nesplnění kteréhokoli K.O. kritéria znamená vyřazení nabídky.</t>
        </is>
      </c>
    </row>
    <row r="14">
      <c r="B14" s="5" t="inlineStr">
        <is>
          <t>7) Dotazy k matici zasílejte výhradně kontaktní osobě dle kap. 8 Zadávací dokumentace; odpovědi jsou sdíleny všem uchazečům (Q&amp;A log).</t>
        </is>
      </c>
    </row>
    <row r="15">
      <c r="B15" s="4" t="inlineStr">
        <is>
          <t>Barvy</t>
        </is>
      </c>
    </row>
    <row r="17">
      <c r="A17" s="6" t="n"/>
      <c r="B17" t="inlineStr">
        <is>
          <t>Vyplňuje Banka (stakeholdeři / projektový tým)</t>
        </is>
      </c>
    </row>
    <row r="18">
      <c r="A18" s="7" t="n"/>
      <c r="B18" t="inlineStr">
        <is>
          <t>Vyplňuje dodavatel</t>
        </is>
      </c>
    </row>
    <row r="19">
      <c r="A19" s="8" t="n"/>
      <c r="B19" t="inlineStr">
        <is>
          <t>Vyplňuje hodnoticí komise</t>
        </is>
      </c>
    </row>
    <row r="20">
      <c r="A20" s="9" t="n"/>
      <c r="B20" t="inlineStr">
        <is>
          <t>Vypočteno vzorcem – needitovat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60" customWidth="1" min="3" max="3"/>
    <col width="30" customWidth="1" min="4" max="4"/>
    <col width="10" customWidth="1" min="5" max="5"/>
    <col width="9" customWidth="1" min="6" max="6"/>
    <col width="40" customWidth="1" min="7" max="7"/>
    <col width="10" customWidth="1" min="8" max="8"/>
    <col width="16" customWidth="1" min="9" max="9"/>
    <col width="15" customWidth="1" min="10" max="10"/>
    <col width="40" customWidth="1" min="11" max="11"/>
    <col width="13" customWidth="1" min="12" max="12"/>
    <col width="14" customWidth="1" min="13" max="13"/>
  </cols>
  <sheetData>
    <row r="1">
      <c r="A1" s="1" t="inlineStr">
        <is>
          <t>Matice shody – požadavky (Příloha 1 Zadávací dokumentace)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4">
      <c r="A4" s="10" t="inlineStr">
        <is>
          <t>BANKA</t>
        </is>
      </c>
      <c r="B4" s="10" t="inlineStr">
        <is>
          <t>BANKA</t>
        </is>
      </c>
      <c r="C4" s="10" t="inlineStr">
        <is>
          <t>BANKA</t>
        </is>
      </c>
      <c r="D4" s="10" t="inlineStr">
        <is>
          <t>BANKA</t>
        </is>
      </c>
      <c r="E4" s="10" t="inlineStr">
        <is>
          <t>BANKA</t>
        </is>
      </c>
      <c r="F4" s="10" t="inlineStr">
        <is>
          <t>BANKA</t>
        </is>
      </c>
      <c r="G4" s="10" t="inlineStr">
        <is>
          <t>BANKA</t>
        </is>
      </c>
      <c r="H4" s="10" t="inlineStr">
        <is>
          <t>BANKA</t>
        </is>
      </c>
      <c r="I4" s="10" t="inlineStr">
        <is>
          <t>BANKA</t>
        </is>
      </c>
      <c r="J4" s="11" t="inlineStr">
        <is>
          <t>DODAVATEL</t>
        </is>
      </c>
      <c r="K4" s="11" t="inlineStr">
        <is>
          <t>DODAVATEL</t>
        </is>
      </c>
      <c r="L4" s="11" t="inlineStr">
        <is>
          <t>DODAVATEL</t>
        </is>
      </c>
      <c r="M4" s="12" t="inlineStr">
        <is>
          <t>VÝPOČET</t>
        </is>
      </c>
    </row>
    <row r="5" ht="48" customHeight="1">
      <c r="A5" s="13" t="inlineStr">
        <is>
          <t>ID požadavku</t>
        </is>
      </c>
      <c r="B5" s="13" t="inlineStr">
        <is>
          <t>Oblast</t>
        </is>
      </c>
      <c r="C5" s="13" t="inlineStr">
        <is>
          <t>Text požadavku</t>
        </is>
      </c>
      <c r="D5" s="13" t="inlineStr">
        <is>
          <t>Zdroj / zdůvodnění (legislativa, standard)</t>
        </is>
      </c>
      <c r="E5" s="13" t="inlineStr">
        <is>
          <t>Priorita (MoSCoW)</t>
        </is>
      </c>
      <c r="F5" s="13" t="inlineStr">
        <is>
          <t>K.O. kritérium</t>
        </is>
      </c>
      <c r="G5" s="13" t="inlineStr">
        <is>
          <t>Akceptační kritérium (jak ověříme)</t>
        </is>
      </c>
      <c r="H5" s="13" t="inlineStr">
        <is>
          <t>Očekávaná kapitola FS</t>
        </is>
      </c>
      <c r="I5" s="13" t="inlineStr">
        <is>
          <t>Hodnoceno v</t>
        </is>
      </c>
      <c r="J5" s="14" t="inlineStr">
        <is>
          <t>Odpověď dodavatele</t>
        </is>
      </c>
      <c r="K5" s="14" t="inlineStr">
        <is>
          <t>Komentář dodavatele (jak je splněno, verze produktu, omezení)</t>
        </is>
      </c>
      <c r="L5" s="14" t="inlineStr">
        <is>
          <t>Odkaz do Feasibility Study (kapitola)</t>
        </is>
      </c>
      <c r="M5" s="15" t="inlineStr">
        <is>
          <t>Křížová kontrola FS</t>
        </is>
      </c>
    </row>
    <row r="6">
      <c r="A6" s="16" t="inlineStr">
        <is>
          <t>KYC-001</t>
        </is>
      </c>
      <c r="B6" s="16" t="inlineStr">
        <is>
          <t>KYC</t>
        </is>
      </c>
      <c r="C6" s="17" t="inlineStr">
        <is>
          <t>Systém při onboardingu automaticky vypočte rizikový profil klienta (nízké / střední / vysoké / nepřijatelné riziko) z konfigurovatelných rizikových faktorů: typ klienta, země (bydliště, občanství, sídlo, zdroj majetku), produkt, distribuční kanál, objem aktiv a struktura vlastnictví.</t>
        </is>
      </c>
      <c r="D6" s="17" t="inlineStr">
        <is>
          <t>§ 21a z. č. 253/2008 Sb.; vyhl. ČNB č. 67/2018 Sb.; EBA/GL/2021/02</t>
        </is>
      </c>
      <c r="E6" s="16" t="inlineStr">
        <is>
          <t>Must</t>
        </is>
      </c>
      <c r="F6" s="16" t="inlineStr">
        <is>
          <t>Ne</t>
        </is>
      </c>
      <c r="G6" s="17" t="inlineStr">
        <is>
          <t>Compliance bez zásahu dodavatele změní váhu faktoru v UI; změna po schválení čtyřma očima platí pro nové výpočty do 1 prac. dne.</t>
        </is>
      </c>
      <c r="H6" s="16" t="inlineStr">
        <is>
          <t>6.1</t>
        </is>
      </c>
      <c r="I6" s="16" t="inlineStr">
        <is>
          <t>Byznys (30 %)</t>
        </is>
      </c>
      <c r="J6" s="18" t="n"/>
      <c r="K6" s="19" t="n"/>
      <c r="L6" s="18" t="n"/>
      <c r="M6" s="20">
        <f>IF(J6="","",IF(OR(J6="OOTB",J6="Konfigurace",J6="Custom vývoj"),IF(L6="","CHYBÍ odkaz FS","OK"),"N/A"))</f>
        <v/>
      </c>
    </row>
    <row r="7">
      <c r="A7" s="16" t="inlineStr">
        <is>
          <t>KYC-002</t>
        </is>
      </c>
      <c r="B7" s="16" t="inlineStr">
        <is>
          <t>KYC</t>
        </is>
      </c>
      <c r="C7" s="17" t="inlineStr">
        <is>
          <t>U každého výpočtu rizikového profilu je uložen vstup, použitá verze rizikového modelu, dílčí skóre faktorů a výsledné zdůvodnění; výpočet lze zpětně zrekonstruovat.</t>
        </is>
      </c>
      <c r="D7" s="17" t="inlineStr">
        <is>
          <t>§ 21 z. č. 253/2008 Sb.; požadavek interního auditu</t>
        </is>
      </c>
      <c r="E7" s="16" t="inlineStr">
        <is>
          <t>Must</t>
        </is>
      </c>
      <c r="F7" s="16" t="inlineStr">
        <is>
          <t>Ne</t>
        </is>
      </c>
      <c r="G7" s="17" t="inlineStr">
        <is>
          <t>Pro vzorek 20 klientů lze k libovolnému datu zobrazit, proč měli daný rizikový profil.</t>
        </is>
      </c>
      <c r="H7" s="16" t="inlineStr">
        <is>
          <t>9.2</t>
        </is>
      </c>
      <c r="I7" s="16" t="inlineStr">
        <is>
          <t>Byznys (30 %)</t>
        </is>
      </c>
      <c r="J7" s="18" t="n"/>
      <c r="K7" s="19" t="n"/>
      <c r="L7" s="18" t="n"/>
      <c r="M7" s="20">
        <f>IF(J7="","",IF(OR(J7="OOTB",J7="Konfigurace",J7="Custom vývoj"),IF(L7="","CHYBÍ odkaz FS","OK"),"N/A"))</f>
        <v/>
      </c>
    </row>
    <row r="8">
      <c r="A8" s="16" t="inlineStr">
        <is>
          <t>KYC-003</t>
        </is>
      </c>
      <c r="B8" s="16" t="inlineStr">
        <is>
          <t>KYC</t>
        </is>
      </c>
      <c r="C8" s="17" t="inlineStr">
        <is>
          <t>Systém vynutí zesílenou kontrolu (EDD) pro vysoce rizikové klienty, PEP a klienty s vazbou na vysoce rizikové třetí země dle seznamu Evropské komise; workflow obsahuje povinné kroky, schválení vedoucím a uložení podkladů.</t>
        </is>
      </c>
      <c r="D8" s="17" t="inlineStr">
        <is>
          <t>§ 9a z. č. 253/2008 Sb.; nařízení v přenesené pravomoci (EU) 2016/1675</t>
        </is>
      </c>
      <c r="E8" s="16" t="inlineStr">
        <is>
          <t>Must</t>
        </is>
      </c>
      <c r="F8" s="16" t="inlineStr">
        <is>
          <t>Ne</t>
        </is>
      </c>
      <c r="G8" s="17" t="inlineStr">
        <is>
          <t>Onboarding PEP klienta nelze dokončit bez vyplnění všech povinných kroků EDD a schválení členem vedení dle vnitřního předpisu.</t>
        </is>
      </c>
      <c r="H8" s="16" t="inlineStr">
        <is>
          <t>6.1</t>
        </is>
      </c>
      <c r="I8" s="16" t="inlineStr">
        <is>
          <t>Byznys (30 %)</t>
        </is>
      </c>
      <c r="J8" s="18" t="n"/>
      <c r="K8" s="19" t="n"/>
      <c r="L8" s="18" t="n"/>
      <c r="M8" s="20">
        <f>IF(J8="","",IF(OR(J8="OOTB",J8="Konfigurace",J8="Custom vývoj"),IF(L8="","CHYBÍ odkaz FS","OK"),"N/A"))</f>
        <v/>
      </c>
    </row>
    <row r="9">
      <c r="A9" s="16" t="inlineStr">
        <is>
          <t>KYC-004</t>
        </is>
      </c>
      <c r="B9" s="16" t="inlineStr">
        <is>
          <t>KYC</t>
        </is>
      </c>
      <c r="C9" s="17" t="inlineStr">
        <is>
          <t>Evidence a ověření skutečného majitele (UBO) včetně vícevrstvých vlastnických struktur (holdingy, svěřenské fondy, trusty, nadace) s grafickou vizualizací struktury a výpočtem nepřímého podílu.</t>
        </is>
      </c>
      <c r="D9" s="17" t="inlineStr">
        <is>
          <t>§ 9 odst. 2 písm. b) z. č. 253/2008 Sb.; z. č. 37/2021 Sb.</t>
        </is>
      </c>
      <c r="E9" s="16" t="inlineStr">
        <is>
          <t>Must</t>
        </is>
      </c>
      <c r="F9" s="16" t="inlineStr">
        <is>
          <t>Ne</t>
        </is>
      </c>
      <c r="G9" s="17" t="inlineStr">
        <is>
          <t>Struktura se 4 úrovněmi vlastnictví a svěřenským fondem se zobrazí graficky a systém určí UBO dle prahu 25 %.</t>
        </is>
      </c>
      <c r="H9" s="16" t="inlineStr">
        <is>
          <t>6.1</t>
        </is>
      </c>
      <c r="I9" s="16" t="inlineStr">
        <is>
          <t>Byznys (30 %)</t>
        </is>
      </c>
      <c r="J9" s="18" t="n"/>
      <c r="K9" s="19" t="n"/>
      <c r="L9" s="18" t="n"/>
      <c r="M9" s="20">
        <f>IF(J9="","",IF(OR(J9="OOTB",J9="Konfigurace",J9="Custom vývoj"),IF(L9="","CHYBÍ odkaz FS","OK"),"N/A"))</f>
        <v/>
      </c>
    </row>
    <row r="10">
      <c r="A10" s="16" t="inlineStr">
        <is>
          <t>KYC-005</t>
        </is>
      </c>
      <c r="B10" s="16" t="inlineStr">
        <is>
          <t>KYC</t>
        </is>
      </c>
      <c r="C10" s="17" t="inlineStr">
        <is>
          <t>Porovnání evidovaných skutečných majitelů s Evidencí skutečných majitelů (ESM) a podpora procesu hlášení nesrovnalosti.</t>
        </is>
      </c>
      <c r="D10" s="17" t="inlineStr">
        <is>
          <t>z. č. 37/2021 Sb.</t>
        </is>
      </c>
      <c r="E10" s="16" t="inlineStr">
        <is>
          <t>Should</t>
        </is>
      </c>
      <c r="F10" s="16" t="inlineStr">
        <is>
          <t>Ne</t>
        </is>
      </c>
      <c r="G10" s="17" t="inlineStr">
        <is>
          <t>Systém označí rozdíl mezi UBO v bance a výpisem z ESM a vytvoří úkol pro Compliance.</t>
        </is>
      </c>
      <c r="H10" s="16" t="inlineStr">
        <is>
          <t>5.6</t>
        </is>
      </c>
      <c r="I10" s="16" t="inlineStr">
        <is>
          <t>Byznys (30 %)</t>
        </is>
      </c>
      <c r="J10" s="18" t="n"/>
      <c r="K10" s="19" t="n"/>
      <c r="L10" s="18" t="n"/>
      <c r="M10" s="20">
        <f>IF(J10="","",IF(OR(J10="OOTB",J10="Konfigurace",J10="Custom vývoj"),IF(L10="","CHYBÍ odkaz FS","OK"),"N/A"))</f>
        <v/>
      </c>
    </row>
    <row r="11">
      <c r="A11" s="16" t="inlineStr">
        <is>
          <t>KYC-006</t>
        </is>
      </c>
      <c r="B11" s="16" t="inlineStr">
        <is>
          <t>KYC</t>
        </is>
      </c>
      <c r="C11" s="17" t="inlineStr">
        <is>
          <t>Načtení údajů o právnické osobě z veřejných rejstříků (ARES, obchodní rejstřík) při onboardingu i při revizi.</t>
        </is>
      </c>
      <c r="D11" s="17" t="inlineStr">
        <is>
          <t>Efektivita procesu</t>
        </is>
      </c>
      <c r="E11" s="16" t="inlineStr">
        <is>
          <t>Should</t>
        </is>
      </c>
      <c r="F11" s="16" t="inlineStr">
        <is>
          <t>Ne</t>
        </is>
      </c>
      <c r="G11" s="17" t="inlineStr">
        <is>
          <t>Po zadání IČO se předvyplní název, sídlo, statutární orgán a datum vzniku.</t>
        </is>
      </c>
      <c r="H11" s="16" t="inlineStr">
        <is>
          <t>5.6</t>
        </is>
      </c>
      <c r="I11" s="16" t="inlineStr">
        <is>
          <t>Byznys (30 %)</t>
        </is>
      </c>
      <c r="J11" s="18" t="n"/>
      <c r="K11" s="19" t="n"/>
      <c r="L11" s="18" t="n"/>
      <c r="M11" s="20">
        <f>IF(J11="","",IF(OR(J11="OOTB",J11="Konfigurace",J11="Custom vývoj"),IF(L11="","CHYBÍ odkaz FS","OK"),"N/A"))</f>
        <v/>
      </c>
    </row>
    <row r="12">
      <c r="A12" s="16" t="inlineStr">
        <is>
          <t>KYC-007</t>
        </is>
      </c>
      <c r="B12" s="16" t="inlineStr">
        <is>
          <t>KYC</t>
        </is>
      </c>
      <c r="C12" s="17" t="inlineStr">
        <is>
          <t>Příjem výsledku vzdálené identifikace klienta prostřednictvím bankovní identity (BankID) a jeho uložení jako důkazu o identifikaci.</t>
        </is>
      </c>
      <c r="D12" s="17" t="inlineStr">
        <is>
          <t>z. č. 250/2017 Sb.; EBA/GL/2022/15</t>
        </is>
      </c>
      <c r="E12" s="16" t="inlineStr">
        <is>
          <t>Could</t>
        </is>
      </c>
      <c r="F12" s="16" t="inlineStr">
        <is>
          <t>Ne</t>
        </is>
      </c>
      <c r="G12" s="17" t="inlineStr">
        <is>
          <t>Identifikace přes BankID se propíše do KYC záznamu včetně úrovně záruky.</t>
        </is>
      </c>
      <c r="H12" s="16" t="inlineStr">
        <is>
          <t>5.6</t>
        </is>
      </c>
      <c r="I12" s="16" t="inlineStr">
        <is>
          <t>Byznys (30 %)</t>
        </is>
      </c>
      <c r="J12" s="18" t="n"/>
      <c r="K12" s="19" t="n"/>
      <c r="L12" s="18" t="n"/>
      <c r="M12" s="20">
        <f>IF(J12="","",IF(OR(J12="OOTB",J12="Konfigurace",J12="Custom vývoj"),IF(L12="","CHYBÍ odkaz FS","OK"),"N/A"))</f>
        <v/>
      </c>
    </row>
    <row r="13">
      <c r="A13" s="16" t="inlineStr">
        <is>
          <t>KYC-008</t>
        </is>
      </c>
      <c r="B13" s="16" t="inlineStr">
        <is>
          <t>KYC</t>
        </is>
      </c>
      <c r="C13" s="17" t="inlineStr">
        <is>
          <t>Periodická revize klienta plánovaná podle rizikovosti (vysoké 1 rok, střední 3 roky, nízké 5 let – konfigurovatelné) s automatickým založením úkolu pro obchodníka v CRM.</t>
        </is>
      </c>
      <c r="D13" s="17" t="inlineStr">
        <is>
          <t>§ 9 odst. 1 z. č. 253/2008 Sb.; vnitřní předpis Banky</t>
        </is>
      </c>
      <c r="E13" s="16" t="inlineStr">
        <is>
          <t>Must</t>
        </is>
      </c>
      <c r="F13" s="16" t="inlineStr">
        <is>
          <t>Ne</t>
        </is>
      </c>
      <c r="G13" s="17" t="inlineStr">
        <is>
          <t>60 dní před termínem revize vznikne v CRM úkol přiřazený obchodníkovi klienta.</t>
        </is>
      </c>
      <c r="H13" s="16" t="inlineStr">
        <is>
          <t>6.1</t>
        </is>
      </c>
      <c r="I13" s="16" t="inlineStr">
        <is>
          <t>Byznys (30 %)</t>
        </is>
      </c>
      <c r="J13" s="18" t="n"/>
      <c r="K13" s="19" t="n"/>
      <c r="L13" s="18" t="n"/>
      <c r="M13" s="20">
        <f>IF(J13="","",IF(OR(J13="OOTB",J13="Konfigurace",J13="Custom vývoj"),IF(L13="","CHYBÍ odkaz FS","OK"),"N/A"))</f>
        <v/>
      </c>
    </row>
    <row r="14">
      <c r="A14" s="16" t="inlineStr">
        <is>
          <t>KYC-009</t>
        </is>
      </c>
      <c r="B14" s="16" t="inlineStr">
        <is>
          <t>KYC</t>
        </is>
      </c>
      <c r="C14" s="17" t="inlineStr">
        <is>
          <t>Událostmi řízená revize: změna rizikově relevantního údaje v CRM (adresa, státní občanství, UBO, předmět podnikání) vyvolá přepočet rizikového profilu a re-screening do 15 minut.</t>
        </is>
      </c>
      <c r="D14" s="17" t="inlineStr">
        <is>
          <t>§ 9 z. č. 253/2008 Sb.</t>
        </is>
      </c>
      <c r="E14" s="16" t="inlineStr">
        <is>
          <t>Must</t>
        </is>
      </c>
      <c r="F14" s="16" t="inlineStr">
        <is>
          <t>Ne</t>
        </is>
      </c>
      <c r="G14" s="17" t="inlineStr">
        <is>
          <t>Změna státního občanství na zemi z vysoce rizikového seznamu zvýší rizikovost do 15 minut a vytvoří případ.</t>
        </is>
      </c>
      <c r="H14" s="16" t="inlineStr">
        <is>
          <t>5.1</t>
        </is>
      </c>
      <c r="I14" s="16" t="inlineStr">
        <is>
          <t>Byznys (30 %)</t>
        </is>
      </c>
      <c r="J14" s="18" t="n"/>
      <c r="K14" s="19" t="n"/>
      <c r="L14" s="18" t="n"/>
      <c r="M14" s="20">
        <f>IF(J14="","",IF(OR(J14="OOTB",J14="Konfigurace",J14="Custom vývoj"),IF(L14="","CHYBÍ odkaz FS","OK"),"N/A"))</f>
        <v/>
      </c>
    </row>
    <row r="15">
      <c r="A15" s="16" t="inlineStr">
        <is>
          <t>KYC-010</t>
        </is>
      </c>
      <c r="B15" s="16" t="inlineStr">
        <is>
          <t>KYC</t>
        </is>
      </c>
      <c r="C15" s="17" t="inlineStr">
        <is>
          <t>Strukturovaný dotazník ke zdroji majetku (SoW) a zdroji finančních prostředků (SoF) s možností přiložit doklady, s verzováním odpovědí a vyhodnocením věrohodnosti.</t>
        </is>
      </c>
      <c r="D15" s="17" t="inlineStr">
        <is>
          <t>§ 9 odst. 2 písm. c) a § 9a z. č. 253/2008 Sb.</t>
        </is>
      </c>
      <c r="E15" s="16" t="inlineStr">
        <is>
          <t>Must</t>
        </is>
      </c>
      <c r="F15" s="16" t="inlineStr">
        <is>
          <t>Ne</t>
        </is>
      </c>
      <c r="G15" s="17" t="inlineStr">
        <is>
          <t>Obchodník vyplní SoW/SoF v CRM, doklady se uloží do DMS a každá změna je dohledatelná.</t>
        </is>
      </c>
      <c r="H15" s="16" t="inlineStr">
        <is>
          <t>6.1</t>
        </is>
      </c>
      <c r="I15" s="16" t="inlineStr">
        <is>
          <t>Byznys (30 %)</t>
        </is>
      </c>
      <c r="J15" s="18" t="n"/>
      <c r="K15" s="19" t="n"/>
      <c r="L15" s="18" t="n"/>
      <c r="M15" s="20">
        <f>IF(J15="","",IF(OR(J15="OOTB",J15="Konfigurace",J15="Custom vývoj"),IF(L15="","CHYBÍ odkaz FS","OK"),"N/A"))</f>
        <v/>
      </c>
    </row>
    <row r="16">
      <c r="A16" s="16" t="inlineStr">
        <is>
          <t>KYC-011</t>
        </is>
      </c>
      <c r="B16" s="16" t="inlineStr">
        <is>
          <t>KYC</t>
        </is>
      </c>
      <c r="C16" s="17" t="inlineStr">
        <is>
          <t>Obchodník vidí stav KYC, rizikovost, termín revize a otevřené případy klienta přímo v CRM bez přepnutí do jiné aplikace (embedded komponenta nebo API).</t>
        </is>
      </c>
      <c r="D16" s="17" t="inlineStr">
        <is>
          <t>Případová studie: CRM je core aplikace</t>
        </is>
      </c>
      <c r="E16" s="16" t="inlineStr">
        <is>
          <t>Must</t>
        </is>
      </c>
      <c r="F16" s="16" t="inlineStr">
        <is>
          <t>Ne</t>
        </is>
      </c>
      <c r="G16" s="17" t="inlineStr">
        <is>
          <t>Na kartě klienta v CRM se zobrazí stav KYC do 2 s.</t>
        </is>
      </c>
      <c r="H16" s="16" t="inlineStr">
        <is>
          <t>5.1</t>
        </is>
      </c>
      <c r="I16" s="16" t="inlineStr">
        <is>
          <t>Byznys (30 %)</t>
        </is>
      </c>
      <c r="J16" s="18" t="n"/>
      <c r="K16" s="19" t="n"/>
      <c r="L16" s="18" t="n"/>
      <c r="M16" s="20">
        <f>IF(J16="","",IF(OR(J16="OOTB",J16="Konfigurace",J16="Custom vývoj"),IF(L16="","CHYBÍ odkaz FS","OK"),"N/A"))</f>
        <v/>
      </c>
    </row>
    <row r="17">
      <c r="A17" s="16" t="inlineStr">
        <is>
          <t>KYC-012</t>
        </is>
      </c>
      <c r="B17" s="16" t="inlineStr">
        <is>
          <t>KYC</t>
        </is>
      </c>
      <c r="C17" s="17" t="inlineStr">
        <is>
          <t>Formuláře KYC se předvyplní z dat CRM; obchodník nezadává žádný údaj dvakrát.</t>
        </is>
      </c>
      <c r="D17" s="17" t="inlineStr">
        <is>
          <t>Efektivita procesu</t>
        </is>
      </c>
      <c r="E17" s="16" t="inlineStr">
        <is>
          <t>Should</t>
        </is>
      </c>
      <c r="F17" s="16" t="inlineStr">
        <is>
          <t>Ne</t>
        </is>
      </c>
      <c r="G17" s="17" t="inlineStr">
        <is>
          <t>Při revizi existujícího klienta jsou předvyplněny všechny údaje evidované v CRM.</t>
        </is>
      </c>
      <c r="H17" s="16" t="inlineStr">
        <is>
          <t>5.1</t>
        </is>
      </c>
      <c r="I17" s="16" t="inlineStr">
        <is>
          <t>Byznys (30 %)</t>
        </is>
      </c>
      <c r="J17" s="18" t="n"/>
      <c r="K17" s="19" t="n"/>
      <c r="L17" s="18" t="n"/>
      <c r="M17" s="20">
        <f>IF(J17="","",IF(OR(J17="OOTB",J17="Konfigurace",J17="Custom vývoj"),IF(L17="","CHYBÍ odkaz FS","OK"),"N/A"))</f>
        <v/>
      </c>
    </row>
    <row r="18">
      <c r="A18" s="16" t="inlineStr">
        <is>
          <t>KYC-013</t>
        </is>
      </c>
      <c r="B18" s="16" t="inlineStr">
        <is>
          <t>KYC</t>
        </is>
      </c>
      <c r="C18" s="17" t="inlineStr">
        <is>
          <t>Klientské formuláře a dotazníky v češtině, angličtině a němčině; další jazyk lze doplnit konfigurací.</t>
        </is>
      </c>
      <c r="D18" s="17" t="inlineStr">
        <is>
          <t>Klientská báze Banky</t>
        </is>
      </c>
      <c r="E18" s="16" t="inlineStr">
        <is>
          <t>Should</t>
        </is>
      </c>
      <c r="F18" s="16" t="inlineStr">
        <is>
          <t>Ne</t>
        </is>
      </c>
      <c r="G18" s="17" t="inlineStr">
        <is>
          <t>Administrátor přidá jazykovou mutaci formuláře bez vývoje.</t>
        </is>
      </c>
      <c r="H18" s="16" t="inlineStr">
        <is>
          <t>6.1</t>
        </is>
      </c>
      <c r="I18" s="16" t="inlineStr">
        <is>
          <t>Byznys (30 %)</t>
        </is>
      </c>
      <c r="J18" s="18" t="n"/>
      <c r="K18" s="19" t="n"/>
      <c r="L18" s="18" t="n"/>
      <c r="M18" s="20">
        <f>IF(J18="","",IF(OR(J18="OOTB",J18="Konfigurace",J18="Custom vývoj"),IF(L18="","CHYBÍ odkaz FS","OK"),"N/A"))</f>
        <v/>
      </c>
    </row>
    <row r="19">
      <c r="A19" s="16" t="inlineStr">
        <is>
          <t>KYC-014</t>
        </is>
      </c>
      <c r="B19" s="16" t="inlineStr">
        <is>
          <t>KYC</t>
        </is>
      </c>
      <c r="C19" s="17" t="inlineStr">
        <is>
          <t>Eskalace nesplněné revize: po termínu upozornění obchodníkovi, po 30 dnech jeho nadřízenému a Compliance, po 90 dnech návrh na omezení služeb.</t>
        </is>
      </c>
      <c r="D19" s="17" t="inlineStr">
        <is>
          <t>Vnitřní předpis Banky</t>
        </is>
      </c>
      <c r="E19" s="16" t="inlineStr">
        <is>
          <t>Should</t>
        </is>
      </c>
      <c r="F19" s="16" t="inlineStr">
        <is>
          <t>Ne</t>
        </is>
      </c>
      <c r="G19" s="17" t="inlineStr">
        <is>
          <t>Eskalační kroky a lhůty jsou konfigurovatelné a jejich provedení je zaznamenáno.</t>
        </is>
      </c>
      <c r="H19" s="16" t="inlineStr">
        <is>
          <t>6.1</t>
        </is>
      </c>
      <c r="I19" s="16" t="inlineStr">
        <is>
          <t>Byznys (30 %)</t>
        </is>
      </c>
      <c r="J19" s="18" t="n"/>
      <c r="K19" s="19" t="n"/>
      <c r="L19" s="18" t="n"/>
      <c r="M19" s="20">
        <f>IF(J19="","",IF(OR(J19="OOTB",J19="Konfigurace",J19="Custom vývoj"),IF(L19="","CHYBÍ odkaz FS","OK"),"N/A"))</f>
        <v/>
      </c>
    </row>
    <row r="20">
      <c r="A20" s="16" t="inlineStr">
        <is>
          <t>KYC-015</t>
        </is>
      </c>
      <c r="B20" s="16" t="inlineStr">
        <is>
          <t>KYC</t>
        </is>
      </c>
      <c r="C20" s="17" t="inlineStr">
        <is>
          <t>Podpora zjednodušené kontroly klienta (SDD) pro definované kategorie klientů s nízkým rizikem.</t>
        </is>
      </c>
      <c r="D20" s="17" t="inlineStr">
        <is>
          <t>§ 13 z. č. 253/2008 Sb.</t>
        </is>
      </c>
      <c r="E20" s="16" t="inlineStr">
        <is>
          <t>Could</t>
        </is>
      </c>
      <c r="F20" s="16" t="inlineStr">
        <is>
          <t>Ne</t>
        </is>
      </c>
      <c r="G20" s="17" t="inlineStr">
        <is>
          <t>Pro klienta kategorie SDD systém nevyžaduje kroky, které zákon u SDD nevyžaduje.</t>
        </is>
      </c>
      <c r="H20" s="16" t="inlineStr">
        <is>
          <t>6.1</t>
        </is>
      </c>
      <c r="I20" s="16" t="inlineStr">
        <is>
          <t>Byznys (30 %)</t>
        </is>
      </c>
      <c r="J20" s="18" t="n"/>
      <c r="K20" s="19" t="n"/>
      <c r="L20" s="18" t="n"/>
      <c r="M20" s="20">
        <f>IF(J20="","",IF(OR(J20="OOTB",J20="Konfigurace",J20="Custom vývoj"),IF(L20="","CHYBÍ odkaz FS","OK"),"N/A"))</f>
        <v/>
      </c>
    </row>
    <row r="21">
      <c r="A21" s="16" t="inlineStr">
        <is>
          <t>SCR-001</t>
        </is>
      </c>
      <c r="B21" s="16" t="inlineStr">
        <is>
          <t>SCR</t>
        </is>
      </c>
      <c r="C21" s="17" t="inlineStr">
        <is>
          <t>Screening klientů, zástupců, skutečných majitelů a protistran proti sankčním seznamům EU (konsolidovaný seznam), OSN, národnímu sankčnímu seznamu ČR a volitelně OFAC a UK HMT.</t>
        </is>
      </c>
      <c r="D21" s="17" t="inlineStr">
        <is>
          <t>z. č. 69/2006 Sb.; z. č. 1/2023 Sb.; sankční nařízení EU</t>
        </is>
      </c>
      <c r="E21" s="16" t="inlineStr">
        <is>
          <t>Must</t>
        </is>
      </c>
      <c r="F21" s="21" t="inlineStr">
        <is>
          <t>Ano</t>
        </is>
      </c>
      <c r="G21" s="17" t="inlineStr">
        <is>
          <t>Testovací subjekty ze všech uvedených seznamů jsou zachyceny ve skriptovaném demu.</t>
        </is>
      </c>
      <c r="H21" s="16" t="inlineStr">
        <is>
          <t>6.2</t>
        </is>
      </c>
      <c r="I21" s="16" t="inlineStr">
        <is>
          <t>K.O. (Pass/Fail)</t>
        </is>
      </c>
      <c r="J21" s="18" t="n"/>
      <c r="K21" s="19" t="n"/>
      <c r="L21" s="18" t="n"/>
      <c r="M21" s="20">
        <f>IF(J21="","",IF(OR(J21="OOTB",J21="Konfigurace",J21="Custom vývoj"),IF(L21="","CHYBÍ odkaz FS","OK"),"N/A"))</f>
        <v/>
      </c>
    </row>
    <row r="22">
      <c r="A22" s="16" t="inlineStr">
        <is>
          <t>SCR-002</t>
        </is>
      </c>
      <c r="B22" s="16" t="inlineStr">
        <is>
          <t>SCR</t>
        </is>
      </c>
      <c r="C22" s="17" t="inlineStr">
        <is>
          <t>Screening politicky exponovaných osob (PEP) včetně rodinných příslušníků a osob blízkých (RCA), s rozlišením domácích a zahraničních PEP.</t>
        </is>
      </c>
      <c r="D22" s="17" t="inlineStr">
        <is>
          <t>§ 4 odst. 5 a § 9a z. č. 253/2008 Sb.</t>
        </is>
      </c>
      <c r="E22" s="16" t="inlineStr">
        <is>
          <t>Must</t>
        </is>
      </c>
      <c r="F22" s="16" t="inlineStr">
        <is>
          <t>Ne</t>
        </is>
      </c>
      <c r="G22" s="17" t="inlineStr">
        <is>
          <t>Shoda na PEP vytvoří případ s kategorií PEP a vazbou na EDD workflow.</t>
        </is>
      </c>
      <c r="H22" s="16" t="inlineStr">
        <is>
          <t>6.2</t>
        </is>
      </c>
      <c r="I22" s="16" t="inlineStr">
        <is>
          <t>Byznys (30 %)</t>
        </is>
      </c>
      <c r="J22" s="18" t="n"/>
      <c r="K22" s="19" t="n"/>
      <c r="L22" s="18" t="n"/>
      <c r="M22" s="20">
        <f>IF(J22="","",IF(OR(J22="OOTB",J22="Konfigurace",J22="Custom vývoj"),IF(L22="","CHYBÍ odkaz FS","OK"),"N/A"))</f>
        <v/>
      </c>
    </row>
    <row r="23">
      <c r="A23" s="16" t="inlineStr">
        <is>
          <t>SCR-003</t>
        </is>
      </c>
      <c r="B23" s="16" t="inlineStr">
        <is>
          <t>SCR</t>
        </is>
      </c>
      <c r="C23" s="17" t="inlineStr">
        <is>
          <t>Screening negativních zpráv (adverse media) s konfigurovatelnými kategoriemi (finanční kriminalita, korupce, organizovaný zločin, daňové delikty).</t>
        </is>
      </c>
      <c r="D23" s="17" t="inlineStr">
        <is>
          <t>EBA/GL/2021/02</t>
        </is>
      </c>
      <c r="E23" s="16" t="inlineStr">
        <is>
          <t>Should</t>
        </is>
      </c>
      <c r="F23" s="16" t="inlineStr">
        <is>
          <t>Ne</t>
        </is>
      </c>
      <c r="G23" s="17" t="inlineStr">
        <is>
          <t>Compliance zapne/vypne kategorie a nastaví stáří zpráv bez vývoje.</t>
        </is>
      </c>
      <c r="H23" s="16" t="inlineStr">
        <is>
          <t>6.2</t>
        </is>
      </c>
      <c r="I23" s="16" t="inlineStr">
        <is>
          <t>Byznys (30 %)</t>
        </is>
      </c>
      <c r="J23" s="18" t="n"/>
      <c r="K23" s="19" t="n"/>
      <c r="L23" s="18" t="n"/>
      <c r="M23" s="20">
        <f>IF(J23="","",IF(OR(J23="OOTB",J23="Konfigurace",J23="Custom vývoj"),IF(L23="","CHYBÍ odkaz FS","OK"),"N/A"))</f>
        <v/>
      </c>
    </row>
    <row r="24">
      <c r="A24" s="16" t="inlineStr">
        <is>
          <t>SCR-004</t>
        </is>
      </c>
      <c r="B24" s="16" t="inlineStr">
        <is>
          <t>SCR</t>
        </is>
      </c>
      <c r="C24" s="17" t="inlineStr">
        <is>
          <t>Denní re-screening celé klientské báze a mimořádný re-screening do 1 hodiny od zveřejnění změny sankčního seznamu EU.</t>
        </is>
      </c>
      <c r="D24" s="17" t="inlineStr">
        <is>
          <t>čl. 5d nařízení (EU) č. 260/2012 ve znění nařízení (EU) 2024/886; z. č. 69/2006 Sb.</t>
        </is>
      </c>
      <c r="E24" s="16" t="inlineStr">
        <is>
          <t>Must</t>
        </is>
      </c>
      <c r="F24" s="16" t="inlineStr">
        <is>
          <t>Ne</t>
        </is>
      </c>
      <c r="G24" s="17" t="inlineStr">
        <is>
          <t>Nová designace na seznamu EU vytvoří případ u dotčeného klienta do 1 hodiny od načtení seznamu.</t>
        </is>
      </c>
      <c r="H24" s="16" t="inlineStr">
        <is>
          <t>6.2</t>
        </is>
      </c>
      <c r="I24" s="16" t="inlineStr">
        <is>
          <t>Byznys (30 %)</t>
        </is>
      </c>
      <c r="J24" s="18" t="n"/>
      <c r="K24" s="19" t="n"/>
      <c r="L24" s="18" t="n"/>
      <c r="M24" s="20">
        <f>IF(J24="","",IF(OR(J24="OOTB",J24="Konfigurace",J24="Custom vývoj"),IF(L24="","CHYBÍ odkaz FS","OK"),"N/A"))</f>
        <v/>
      </c>
    </row>
    <row r="25">
      <c r="A25" s="16" t="inlineStr">
        <is>
          <t>SCR-005</t>
        </is>
      </c>
      <c r="B25" s="16" t="inlineStr">
        <is>
          <t>SCR</t>
        </is>
      </c>
      <c r="C25" s="17" t="inlineStr">
        <is>
          <t>Fuzzy matching jmen s podporou transliterace (cyrilice, arabské písmo, čínské znaky), zaměnitelných pořadí jmen a diakritiky; prahy shody nastavitelné bez vývoje.</t>
        </is>
      </c>
      <c r="D25" s="17" t="inlineStr">
        <is>
          <t>Snížení false positive</t>
        </is>
      </c>
      <c r="E25" s="16" t="inlineStr">
        <is>
          <t>Must</t>
        </is>
      </c>
      <c r="F25" s="16" t="inlineStr">
        <is>
          <t>Ne</t>
        </is>
      </c>
      <c r="G25" s="17" t="inlineStr">
        <is>
          <t>Jméno v cyrilici je spárováno s latinkou dle ICAO i BGN/PCGN transliterace.</t>
        </is>
      </c>
      <c r="H25" s="16" t="inlineStr">
        <is>
          <t>6.2</t>
        </is>
      </c>
      <c r="I25" s="16" t="inlineStr">
        <is>
          <t>Byznys (30 %)</t>
        </is>
      </c>
      <c r="J25" s="18" t="n"/>
      <c r="K25" s="19" t="n"/>
      <c r="L25" s="18" t="n"/>
      <c r="M25" s="20">
        <f>IF(J25="","",IF(OR(J25="OOTB",J25="Konfigurace",J25="Custom vývoj"),IF(L25="","CHYBÍ odkaz FS","OK"),"N/A"))</f>
        <v/>
      </c>
    </row>
    <row r="26">
      <c r="A26" s="16" t="inlineStr">
        <is>
          <t>SCR-006</t>
        </is>
      </c>
      <c r="B26" s="16" t="inlineStr">
        <is>
          <t>SCR</t>
        </is>
      </c>
      <c r="C26" s="17" t="inlineStr">
        <is>
          <t>Seznam vyloučených shod (good-guy / whitelist) s povinným schválením čtyřma očima, zdůvodněním a datem expirace.</t>
        </is>
      </c>
      <c r="D26" s="17" t="inlineStr">
        <is>
          <t>Snížení false positive; auditovatelnost</t>
        </is>
      </c>
      <c r="E26" s="16" t="inlineStr">
        <is>
          <t>Must</t>
        </is>
      </c>
      <c r="F26" s="16" t="inlineStr">
        <is>
          <t>Ne</t>
        </is>
      </c>
      <c r="G26" s="17" t="inlineStr">
        <is>
          <t>Výjimka bez druhého schválení se neaplikuje; po expiraci se shoda znovu vyhodnotí.</t>
        </is>
      </c>
      <c r="H26" s="16" t="inlineStr">
        <is>
          <t>6.2</t>
        </is>
      </c>
      <c r="I26" s="16" t="inlineStr">
        <is>
          <t>Byznys (30 %)</t>
        </is>
      </c>
      <c r="J26" s="18" t="n"/>
      <c r="K26" s="19" t="n"/>
      <c r="L26" s="18" t="n"/>
      <c r="M26" s="20">
        <f>IF(J26="","",IF(OR(J26="OOTB",J26="Konfigurace",J26="Custom vývoj"),IF(L26="","CHYBÍ odkaz FS","OK"),"N/A"))</f>
        <v/>
      </c>
    </row>
    <row r="27">
      <c r="A27" s="16" t="inlineStr">
        <is>
          <t>SCR-007</t>
        </is>
      </c>
      <c r="B27" s="16" t="inlineStr">
        <is>
          <t>SCR</t>
        </is>
      </c>
      <c r="C27" s="17" t="inlineStr">
        <is>
          <t>Online screening odchozích a příchozích zahraničních plateb (SWIFT, SEPA) vůči sankčním seznamům před jejich zpracováním, s možností pozastavit platbu.</t>
        </is>
      </c>
      <c r="D27" s="17" t="inlineStr">
        <is>
          <t>z. č. 69/2006 Sb.; sankční nařízení EU</t>
        </is>
      </c>
      <c r="E27" s="16" t="inlineStr">
        <is>
          <t>Must</t>
        </is>
      </c>
      <c r="F27" s="16" t="inlineStr">
        <is>
          <t>Ne</t>
        </is>
      </c>
      <c r="G27" s="17" t="inlineStr">
        <is>
          <t>Platba na sankcionovaný subjekt je pozastavena a vznikne případ; odezva viz NFR-003.</t>
        </is>
      </c>
      <c r="H27" s="16" t="inlineStr">
        <is>
          <t>5.4</t>
        </is>
      </c>
      <c r="I27" s="16" t="inlineStr">
        <is>
          <t>Byznys (30 %)</t>
        </is>
      </c>
      <c r="J27" s="18" t="n"/>
      <c r="K27" s="19" t="n"/>
      <c r="L27" s="18" t="n"/>
      <c r="M27" s="20">
        <f>IF(J27="","",IF(OR(J27="OOTB",J27="Konfigurace",J27="Custom vývoj"),IF(L27="","CHYBÍ odkaz FS","OK"),"N/A"))</f>
        <v/>
      </c>
    </row>
    <row r="28">
      <c r="A28" s="16" t="inlineStr">
        <is>
          <t>SCR-008</t>
        </is>
      </c>
      <c r="B28" s="16" t="inlineStr">
        <is>
          <t>SCR</t>
        </is>
      </c>
      <c r="C28" s="17" t="inlineStr">
        <is>
          <t>Měření míry falešně pozitivních shod a možnost otestovat změnu nastavení screeningu nad historickými daty (what-if) před nasazením.</t>
        </is>
      </c>
      <c r="D28" s="17" t="inlineStr">
        <is>
          <t>Efektivita Compliance</t>
        </is>
      </c>
      <c r="E28" s="16" t="inlineStr">
        <is>
          <t>Should</t>
        </is>
      </c>
      <c r="F28" s="16" t="inlineStr">
        <is>
          <t>Ne</t>
        </is>
      </c>
      <c r="G28" s="17" t="inlineStr">
        <is>
          <t>Simulace změny prahu ukáže počet alertů za posledních 6 měsíců před a po změně.</t>
        </is>
      </c>
      <c r="H28" s="16" t="inlineStr">
        <is>
          <t>6.2</t>
        </is>
      </c>
      <c r="I28" s="16" t="inlineStr">
        <is>
          <t>Byznys (30 %)</t>
        </is>
      </c>
      <c r="J28" s="18" t="n"/>
      <c r="K28" s="19" t="n"/>
      <c r="L28" s="18" t="n"/>
      <c r="M28" s="20">
        <f>IF(J28="","",IF(OR(J28="OOTB",J28="Konfigurace",J28="Custom vývoj"),IF(L28="","CHYBÍ odkaz FS","OK"),"N/A"))</f>
        <v/>
      </c>
    </row>
    <row r="29">
      <c r="A29" s="16" t="inlineStr">
        <is>
          <t>SCR-009</t>
        </is>
      </c>
      <c r="B29" s="16" t="inlineStr">
        <is>
          <t>SCR</t>
        </is>
      </c>
      <c r="C29" s="17" t="inlineStr">
        <is>
          <t>Řešení podporuje alespoň dva komerční zdroje dat PEP/adverse media; náklady na datové zdroje jsou uvedeny v cenové nabídce.</t>
        </is>
      </c>
      <c r="D29" s="17" t="inlineStr">
        <is>
          <t>Riziko vendor lock-in; TCO</t>
        </is>
      </c>
      <c r="E29" s="16" t="inlineStr">
        <is>
          <t>Should</t>
        </is>
      </c>
      <c r="F29" s="16" t="inlineStr">
        <is>
          <t>Ne</t>
        </is>
      </c>
      <c r="G29" s="17" t="inlineStr">
        <is>
          <t>Výměna zdroje dat nevyžaduje změnu integrací Banky.</t>
        </is>
      </c>
      <c r="H29" s="16" t="inlineStr">
        <is>
          <t>3.3</t>
        </is>
      </c>
      <c r="I29" s="16" t="inlineStr">
        <is>
          <t>Byznys (30 %)</t>
        </is>
      </c>
      <c r="J29" s="18" t="n"/>
      <c r="K29" s="19" t="n"/>
      <c r="L29" s="18" t="n"/>
      <c r="M29" s="20">
        <f>IF(J29="","",IF(OR(J29="OOTB",J29="Konfigurace",J29="Custom vývoj"),IF(L29="","CHYBÍ odkaz FS","OK"),"N/A"))</f>
        <v/>
      </c>
    </row>
    <row r="30">
      <c r="A30" s="16" t="inlineStr">
        <is>
          <t>SCR-010</t>
        </is>
      </c>
      <c r="B30" s="16" t="inlineStr">
        <is>
          <t>SCR</t>
        </is>
      </c>
      <c r="C30" s="17" t="inlineStr">
        <is>
          <t>Uchování historie screeningu (verze seznamu, výsledek, rozhodnutí, uživatel) po dobu 10 let od ukončení obchodního vztahu.</t>
        </is>
      </c>
      <c r="D30" s="17" t="inlineStr">
        <is>
          <t>§ 16 z. č. 253/2008 Sb.</t>
        </is>
      </c>
      <c r="E30" s="16" t="inlineStr">
        <is>
          <t>Must</t>
        </is>
      </c>
      <c r="F30" s="16" t="inlineStr">
        <is>
          <t>Ne</t>
        </is>
      </c>
      <c r="G30" s="17" t="inlineStr">
        <is>
          <t>Pro libovolné datum lze doložit, proti které verzi seznamu byl klient prověřen.</t>
        </is>
      </c>
      <c r="H30" s="16" t="inlineStr">
        <is>
          <t>9.2</t>
        </is>
      </c>
      <c r="I30" s="16" t="inlineStr">
        <is>
          <t>Byznys (30 %)</t>
        </is>
      </c>
      <c r="J30" s="18" t="n"/>
      <c r="K30" s="19" t="n"/>
      <c r="L30" s="18" t="n"/>
      <c r="M30" s="20">
        <f>IF(J30="","",IF(OR(J30="OOTB",J30="Konfigurace",J30="Custom vývoj"),IF(L30="","CHYBÍ odkaz FS","OK"),"N/A"))</f>
        <v/>
      </c>
    </row>
    <row r="31">
      <c r="A31" s="16" t="inlineStr">
        <is>
          <t>TM-001</t>
        </is>
      </c>
      <c r="B31" s="16" t="inlineStr">
        <is>
          <t>TM</t>
        </is>
      </c>
      <c r="C31" s="17" t="inlineStr">
        <is>
          <t>Monitoring transakcí pomocí konfigurovatelných scénářů; dodávaná knihovna obsahuje min. 40 typologií relevantních pro privátní bankovnictví (strukturování, rychlý průtok, rizikové země, nesoulad s profilem).</t>
        </is>
      </c>
      <c r="D31" s="17" t="inlineStr">
        <is>
          <t>§ 21 z. č. 253/2008 Sb.; vyhl. ČNB č. 67/2018 Sb.</t>
        </is>
      </c>
      <c r="E31" s="16" t="inlineStr">
        <is>
          <t>Must</t>
        </is>
      </c>
      <c r="F31" s="16" t="inlineStr">
        <is>
          <t>Ne</t>
        </is>
      </c>
      <c r="G31" s="17" t="inlineStr">
        <is>
          <t>Dodavatel předloží seznam scénářů; 10 vybraných předvede ve skriptovaném demu.</t>
        </is>
      </c>
      <c r="H31" s="16" t="inlineStr">
        <is>
          <t>6.3</t>
        </is>
      </c>
      <c r="I31" s="16" t="inlineStr">
        <is>
          <t>Byznys (30 %)</t>
        </is>
      </c>
      <c r="J31" s="18" t="n"/>
      <c r="K31" s="19" t="n"/>
      <c r="L31" s="18" t="n"/>
      <c r="M31" s="20">
        <f>IF(J31="","",IF(OR(J31="OOTB",J31="Konfigurace",J31="Custom vývoj"),IF(L31="","CHYBÍ odkaz FS","OK"),"N/A"))</f>
        <v/>
      </c>
    </row>
    <row r="32">
      <c r="A32" s="16" t="inlineStr">
        <is>
          <t>TM-002</t>
        </is>
      </c>
      <c r="B32" s="16" t="inlineStr">
        <is>
          <t>TM</t>
        </is>
      </c>
      <c r="C32" s="17" t="inlineStr">
        <is>
          <t>Compliance vytváří a mění scénáře v UI bez vývoje dodavatele; změny se verzují a schvalují čtyřma očima.</t>
        </is>
      </c>
      <c r="D32" s="17" t="inlineStr">
        <is>
          <t>Nezávislost na dodavateli</t>
        </is>
      </c>
      <c r="E32" s="16" t="inlineStr">
        <is>
          <t>Must</t>
        </is>
      </c>
      <c r="F32" s="16" t="inlineStr">
        <is>
          <t>Ne</t>
        </is>
      </c>
      <c r="G32" s="17" t="inlineStr">
        <is>
          <t>Nový scénář založený v UI je po schválení aktivní v produkci bez nasazení nové verze.</t>
        </is>
      </c>
      <c r="H32" s="16" t="inlineStr">
        <is>
          <t>6.3</t>
        </is>
      </c>
      <c r="I32" s="16" t="inlineStr">
        <is>
          <t>Byznys (30 %)</t>
        </is>
      </c>
      <c r="J32" s="18" t="n"/>
      <c r="K32" s="19" t="n"/>
      <c r="L32" s="18" t="n"/>
      <c r="M32" s="20">
        <f>IF(J32="","",IF(OR(J32="OOTB",J32="Konfigurace",J32="Custom vývoj"),IF(L32="","CHYBÍ odkaz FS","OK"),"N/A"))</f>
        <v/>
      </c>
    </row>
    <row r="33">
      <c r="A33" s="16" t="inlineStr">
        <is>
          <t>TM-003</t>
        </is>
      </c>
      <c r="B33" s="16" t="inlineStr">
        <is>
          <t>TM</t>
        </is>
      </c>
      <c r="C33" s="17" t="inlineStr">
        <is>
          <t>Testování (backtesting) nového nebo upraveného scénáře nad historickými daty před nasazením.</t>
        </is>
      </c>
      <c r="D33" s="17" t="inlineStr">
        <is>
          <t>Kvalita detekce</t>
        </is>
      </c>
      <c r="E33" s="16" t="inlineStr">
        <is>
          <t>Should</t>
        </is>
      </c>
      <c r="F33" s="16" t="inlineStr">
        <is>
          <t>Ne</t>
        </is>
      </c>
      <c r="G33" s="17" t="inlineStr">
        <is>
          <t>Výsledek backtestu nad 12 měsíci dat je k dispozici do 4 hodin.</t>
        </is>
      </c>
      <c r="H33" s="16" t="inlineStr">
        <is>
          <t>6.3</t>
        </is>
      </c>
      <c r="I33" s="16" t="inlineStr">
        <is>
          <t>Byznys (30 %)</t>
        </is>
      </c>
      <c r="J33" s="18" t="n"/>
      <c r="K33" s="19" t="n"/>
      <c r="L33" s="18" t="n"/>
      <c r="M33" s="20">
        <f>IF(J33="","",IF(OR(J33="OOTB",J33="Konfigurace",J33="Custom vývoj"),IF(L33="","CHYBÍ odkaz FS","OK"),"N/A"))</f>
        <v/>
      </c>
    </row>
    <row r="34">
      <c r="A34" s="16" t="inlineStr">
        <is>
          <t>TM-004</t>
        </is>
      </c>
      <c r="B34" s="16" t="inlineStr">
        <is>
          <t>TM</t>
        </is>
      </c>
      <c r="C34" s="17" t="inlineStr">
        <is>
          <t>Kontrola úplnosti informací o plátci a příjemci u bezhotovostních převodů a hlášení neúplných zpráv.</t>
        </is>
      </c>
      <c r="D34" s="17" t="inlineStr">
        <is>
          <t>nařízení (EU) 2023/1113</t>
        </is>
      </c>
      <c r="E34" s="16" t="inlineStr">
        <is>
          <t>Should</t>
        </is>
      </c>
      <c r="F34" s="16" t="inlineStr">
        <is>
          <t>Ne</t>
        </is>
      </c>
      <c r="G34" s="17" t="inlineStr">
        <is>
          <t>Platba bez povinných údajů plátce vytvoří alert dle konfigurace.</t>
        </is>
      </c>
      <c r="H34" s="16" t="inlineStr">
        <is>
          <t>6.3</t>
        </is>
      </c>
      <c r="I34" s="16" t="inlineStr">
        <is>
          <t>Byznys (30 %)</t>
        </is>
      </c>
      <c r="J34" s="18" t="n"/>
      <c r="K34" s="19" t="n"/>
      <c r="L34" s="18" t="n"/>
      <c r="M34" s="20">
        <f>IF(J34="","",IF(OR(J34="OOTB",J34="Konfigurace",J34="Custom vývoj"),IF(L34="","CHYBÍ odkaz FS","OK"),"N/A"))</f>
        <v/>
      </c>
    </row>
    <row r="35">
      <c r="A35" s="16" t="inlineStr">
        <is>
          <t>TM-005</t>
        </is>
      </c>
      <c r="B35" s="16" t="inlineStr">
        <is>
          <t>TM</t>
        </is>
      </c>
      <c r="C35" s="17" t="inlineStr">
        <is>
          <t>Profil očekávaného chování klienta (obrat, země, typy transakcí dle KYC) a alert při významné odchylce skutečnosti od profilu.</t>
        </is>
      </c>
      <c r="D35" s="17" t="inlineStr">
        <is>
          <t>§ 9 odst. 2 písm. d) z. č. 253/2008 Sb.</t>
        </is>
      </c>
      <c r="E35" s="16" t="inlineStr">
        <is>
          <t>Must</t>
        </is>
      </c>
      <c r="F35" s="16" t="inlineStr">
        <is>
          <t>Ne</t>
        </is>
      </c>
      <c r="G35" s="17" t="inlineStr">
        <is>
          <t>Měsíční obrat přesahující deklarovaný o nastavitelné % vytvoří alert.</t>
        </is>
      </c>
      <c r="H35" s="16" t="inlineStr">
        <is>
          <t>6.3</t>
        </is>
      </c>
      <c r="I35" s="16" t="inlineStr">
        <is>
          <t>Byznys (30 %)</t>
        </is>
      </c>
      <c r="J35" s="18" t="n"/>
      <c r="K35" s="19" t="n"/>
      <c r="L35" s="18" t="n"/>
      <c r="M35" s="20">
        <f>IF(J35="","",IF(OR(J35="OOTB",J35="Konfigurace",J35="Custom vývoj"),IF(L35="","CHYBÍ odkaz FS","OK"),"N/A"))</f>
        <v/>
      </c>
    </row>
    <row r="36">
      <c r="A36" s="16" t="inlineStr">
        <is>
          <t>TM-006</t>
        </is>
      </c>
      <c r="B36" s="16" t="inlineStr">
        <is>
          <t>TM</t>
        </is>
      </c>
      <c r="C36" s="17" t="inlineStr">
        <is>
          <t>Podpora odkladu splnění příkazu klienta: pozastavení odchozí platby na základě alertu a evidence lhůt odkladu.</t>
        </is>
      </c>
      <c r="D36" s="17" t="inlineStr">
        <is>
          <t>§ 20 z. č. 253/2008 Sb.</t>
        </is>
      </c>
      <c r="E36" s="16" t="inlineStr">
        <is>
          <t>Must</t>
        </is>
      </c>
      <c r="F36" s="16" t="inlineStr">
        <is>
          <t>Ne</t>
        </is>
      </c>
      <c r="G36" s="17" t="inlineStr">
        <is>
          <t>Pozastavená platba je evidována s časem a lhůtou; uvolnění vyžaduje rozhodnutí oprávněné osoby.</t>
        </is>
      </c>
      <c r="H36" s="16" t="inlineStr">
        <is>
          <t>5.4</t>
        </is>
      </c>
      <c r="I36" s="16" t="inlineStr">
        <is>
          <t>Byznys (30 %)</t>
        </is>
      </c>
      <c r="J36" s="18" t="n"/>
      <c r="K36" s="19" t="n"/>
      <c r="L36" s="18" t="n"/>
      <c r="M36" s="20">
        <f>IF(J36="","",IF(OR(J36="OOTB",J36="Konfigurace",J36="Custom vývoj"),IF(L36="","CHYBÍ odkaz FS","OK"),"N/A"))</f>
        <v/>
      </c>
    </row>
    <row r="37">
      <c r="A37" s="16" t="inlineStr">
        <is>
          <t>TM-007</t>
        </is>
      </c>
      <c r="B37" s="16" t="inlineStr">
        <is>
          <t>TM</t>
        </is>
      </c>
      <c r="C37" s="17" t="inlineStr">
        <is>
          <t>Detekce anomálií pomocí strojového učení jako doplněk scénářů, s vysvětlením důvodu alertu srozumitelným pro analytika.</t>
        </is>
      </c>
      <c r="D37" s="17" t="inlineStr">
        <is>
          <t>nařízení (EU) 2024/1689 (AI Act) – transparentnost</t>
        </is>
      </c>
      <c r="E37" s="16" t="inlineStr">
        <is>
          <t>Could</t>
        </is>
      </c>
      <c r="F37" s="16" t="inlineStr">
        <is>
          <t>Ne</t>
        </is>
      </c>
      <c r="G37" s="17" t="inlineStr">
        <is>
          <t>Každý ML alert obsahuje 3 hlavní faktory, které ho způsobily.</t>
        </is>
      </c>
      <c r="H37" s="16" t="inlineStr">
        <is>
          <t>6.3</t>
        </is>
      </c>
      <c r="I37" s="16" t="inlineStr">
        <is>
          <t>Byznys (30 %)</t>
        </is>
      </c>
      <c r="J37" s="18" t="n"/>
      <c r="K37" s="19" t="n"/>
      <c r="L37" s="18" t="n"/>
      <c r="M37" s="20">
        <f>IF(J37="","",IF(OR(J37="OOTB",J37="Konfigurace",J37="Custom vývoj"),IF(L37="","CHYBÍ odkaz FS","OK"),"N/A"))</f>
        <v/>
      </c>
    </row>
    <row r="38">
      <c r="A38" s="16" t="inlineStr">
        <is>
          <t>TM-008</t>
        </is>
      </c>
      <c r="B38" s="16" t="inlineStr">
        <is>
          <t>TM</t>
        </is>
      </c>
      <c r="C38" s="17" t="inlineStr">
        <is>
          <t>Při spuštění systém zpracuje transakční historii za 24 měsíců pro výpočet profilů a baseline scénářů.</t>
        </is>
      </c>
      <c r="D38" s="17" t="inlineStr">
        <is>
          <t>Kontinuita monitoringu</t>
        </is>
      </c>
      <c r="E38" s="16" t="inlineStr">
        <is>
          <t>Should</t>
        </is>
      </c>
      <c r="F38" s="16" t="inlineStr">
        <is>
          <t>Ne</t>
        </is>
      </c>
      <c r="G38" s="17" t="inlineStr">
        <is>
          <t>První den produkce jsou profily klientů vypočteny z migrované historie.</t>
        </is>
      </c>
      <c r="H38" s="16" t="inlineStr">
        <is>
          <t>7.2</t>
        </is>
      </c>
      <c r="I38" s="16" t="inlineStr">
        <is>
          <t>Byznys (30 %)</t>
        </is>
      </c>
      <c r="J38" s="18" t="n"/>
      <c r="K38" s="19" t="n"/>
      <c r="L38" s="18" t="n"/>
      <c r="M38" s="20">
        <f>IF(J38="","",IF(OR(J38="OOTB",J38="Konfigurace",J38="Custom vývoj"),IF(L38="","CHYBÍ odkaz FS","OK"),"N/A"))</f>
        <v/>
      </c>
    </row>
    <row r="39">
      <c r="A39" s="16" t="inlineStr">
        <is>
          <t>CAS-001</t>
        </is>
      </c>
      <c r="B39" s="16" t="inlineStr">
        <is>
          <t>CAS</t>
        </is>
      </c>
      <c r="C39" s="17" t="inlineStr">
        <is>
          <t>Jednotná správa případů pro alerty ze screeningu, monitoringu transakcí a KYC, s prioritizací, přidělováním a sledováním lhůt zpracování.</t>
        </is>
      </c>
      <c r="D39" s="17" t="inlineStr">
        <is>
          <t>Efektivita Compliance</t>
        </is>
      </c>
      <c r="E39" s="16" t="inlineStr">
        <is>
          <t>Must</t>
        </is>
      </c>
      <c r="F39" s="16" t="inlineStr">
        <is>
          <t>Ne</t>
        </is>
      </c>
      <c r="G39" s="17" t="inlineStr">
        <is>
          <t>Analytik vidí jednu frontu případů ze všech zdrojů s barevně odlišenou lhůtou.</t>
        </is>
      </c>
      <c r="H39" s="16" t="inlineStr">
        <is>
          <t>6.4</t>
        </is>
      </c>
      <c r="I39" s="16" t="inlineStr">
        <is>
          <t>Byznys (30 %)</t>
        </is>
      </c>
      <c r="J39" s="18" t="n"/>
      <c r="K39" s="19" t="n"/>
      <c r="L39" s="18" t="n"/>
      <c r="M39" s="20">
        <f>IF(J39="","",IF(OR(J39="OOTB",J39="Konfigurace",J39="Custom vývoj"),IF(L39="","CHYBÍ odkaz FS","OK"),"N/A"))</f>
        <v/>
      </c>
    </row>
    <row r="40">
      <c r="A40" s="16" t="inlineStr">
        <is>
          <t>CAS-002</t>
        </is>
      </c>
      <c r="B40" s="16" t="inlineStr">
        <is>
          <t>CAS</t>
        </is>
      </c>
      <c r="C40" s="17" t="inlineStr">
        <is>
          <t>Rozhodnutí o přijetí, zamítnutí, blokaci nebo ukončení vztahu probíhá na principu čtyř očí; systém nedovolí, aby rozhodl uživatel, který případ připravil.</t>
        </is>
      </c>
      <c r="D40" s="17" t="inlineStr">
        <is>
          <t>Vnitřní kontrolní systém; vyhl. ČNB č. 67/2018 Sb.</t>
        </is>
      </c>
      <c r="E40" s="16" t="inlineStr">
        <is>
          <t>Must</t>
        </is>
      </c>
      <c r="F40" s="16" t="inlineStr">
        <is>
          <t>Ne</t>
        </is>
      </c>
      <c r="G40" s="17" t="inlineStr">
        <is>
          <t>Pokus o schválení vlastního případu systém odmítne a zaloguje.</t>
        </is>
      </c>
      <c r="H40" s="16" t="inlineStr">
        <is>
          <t>6.4</t>
        </is>
      </c>
      <c r="I40" s="16" t="inlineStr">
        <is>
          <t>Byznys (30 %)</t>
        </is>
      </c>
      <c r="J40" s="18" t="n"/>
      <c r="K40" s="19" t="n"/>
      <c r="L40" s="18" t="n"/>
      <c r="M40" s="20">
        <f>IF(J40="","",IF(OR(J40="OOTB",J40="Konfigurace",J40="Custom vývoj"),IF(L40="","CHYBÍ odkaz FS","OK"),"N/A"))</f>
        <v/>
      </c>
    </row>
    <row r="41">
      <c r="A41" s="16" t="inlineStr">
        <is>
          <t>CAS-003</t>
        </is>
      </c>
      <c r="B41" s="16" t="inlineStr">
        <is>
          <t>CAS</t>
        </is>
      </c>
      <c r="C41" s="17" t="inlineStr">
        <is>
          <t>Rozhodnutí se do 1 minuty propíše do CRM jako stav klienta (aktivní / v prověření / blokován / ukončen) a CRM podle stavu omezí dostupné akce.</t>
        </is>
      </c>
      <c r="D41" s="17" t="inlineStr">
        <is>
          <t>Případová studie: rozhodovací procesy v CRM</t>
        </is>
      </c>
      <c r="E41" s="16" t="inlineStr">
        <is>
          <t>Must</t>
        </is>
      </c>
      <c r="F41" s="16" t="inlineStr">
        <is>
          <t>Ne</t>
        </is>
      </c>
      <c r="G41" s="17" t="inlineStr">
        <is>
          <t>Po blokaci nelze v CRM založit nový produkt klientovi.</t>
        </is>
      </c>
      <c r="H41" s="16" t="inlineStr">
        <is>
          <t>5.1</t>
        </is>
      </c>
      <c r="I41" s="16" t="inlineStr">
        <is>
          <t>Byznys (30 %)</t>
        </is>
      </c>
      <c r="J41" s="18" t="n"/>
      <c r="K41" s="19" t="n"/>
      <c r="L41" s="18" t="n"/>
      <c r="M41" s="20">
        <f>IF(J41="","",IF(OR(J41="OOTB",J41="Konfigurace",J41="Custom vývoj"),IF(L41="","CHYBÍ odkaz FS","OK"),"N/A"))</f>
        <v/>
      </c>
    </row>
    <row r="42">
      <c r="A42" s="16" t="inlineStr">
        <is>
          <t>CAS-004</t>
        </is>
      </c>
      <c r="B42" s="16" t="inlineStr">
        <is>
          <t>CAS</t>
        </is>
      </c>
      <c r="C42" s="17" t="inlineStr">
        <is>
          <t>Zamítnutí nebo blokaci klienta vždy potvrzuje člověk; plně automatické rozhodnutí je možné jen v předem schválených případech (např. přesná shoda se sankčním seznamem).</t>
        </is>
      </c>
      <c r="D42" s="17" t="inlineStr">
        <is>
          <t>čl. 22 GDPR</t>
        </is>
      </c>
      <c r="E42" s="16" t="inlineStr">
        <is>
          <t>Must</t>
        </is>
      </c>
      <c r="F42" s="16" t="inlineStr">
        <is>
          <t>Ne</t>
        </is>
      </c>
      <c r="G42" s="17" t="inlineStr">
        <is>
          <t>Konfigurace automatických rozhodnutí je oddělena a změnu schvaluje Compliance i DPO.</t>
        </is>
      </c>
      <c r="H42" s="16" t="inlineStr">
        <is>
          <t>6.4</t>
        </is>
      </c>
      <c r="I42" s="16" t="inlineStr">
        <is>
          <t>Byznys (30 %)</t>
        </is>
      </c>
      <c r="J42" s="18" t="n"/>
      <c r="K42" s="19" t="n"/>
      <c r="L42" s="18" t="n"/>
      <c r="M42" s="20">
        <f>IF(J42="","",IF(OR(J42="OOTB",J42="Konfigurace",J42="Custom vývoj"),IF(L42="","CHYBÍ odkaz FS","OK"),"N/A"))</f>
        <v/>
      </c>
    </row>
    <row r="43">
      <c r="A43" s="16" t="inlineStr">
        <is>
          <t>CAS-005</t>
        </is>
      </c>
      <c r="B43" s="16" t="inlineStr">
        <is>
          <t>CAS</t>
        </is>
      </c>
      <c r="C43" s="17" t="inlineStr">
        <is>
          <t>Úplná a neměnná auditní stopa případu: kdo, kdy, jakou akci, s jakým zdůvodněním a s jakými podklady.</t>
        </is>
      </c>
      <c r="D43" s="17" t="inlineStr">
        <is>
          <t>§ 16 z. č. 253/2008 Sb.; DORA čl. 12</t>
        </is>
      </c>
      <c r="E43" s="16" t="inlineStr">
        <is>
          <t>Must</t>
        </is>
      </c>
      <c r="F43" s="16" t="inlineStr">
        <is>
          <t>Ne</t>
        </is>
      </c>
      <c r="G43" s="17" t="inlineStr">
        <is>
          <t>Auditní záznam nelze upravit ani smazat ani administrátorem.</t>
        </is>
      </c>
      <c r="H43" s="16" t="inlineStr">
        <is>
          <t>9.2</t>
        </is>
      </c>
      <c r="I43" s="16" t="inlineStr">
        <is>
          <t>Byznys (30 %)</t>
        </is>
      </c>
      <c r="J43" s="18" t="n"/>
      <c r="K43" s="19" t="n"/>
      <c r="L43" s="18" t="n"/>
      <c r="M43" s="20">
        <f>IF(J43="","",IF(OR(J43="OOTB",J43="Konfigurace",J43="Custom vývoj"),IF(L43="","CHYBÍ odkaz FS","OK"),"N/A"))</f>
        <v/>
      </c>
    </row>
    <row r="44">
      <c r="A44" s="16" t="inlineStr">
        <is>
          <t>CAS-006</t>
        </is>
      </c>
      <c r="B44" s="16" t="inlineStr">
        <is>
          <t>CAS</t>
        </is>
      </c>
      <c r="C44" s="17" t="inlineStr">
        <is>
          <t>Přílohy případu se ukládají do bankovního DMS; systém drží pouze odkaz a metadata.</t>
        </is>
      </c>
      <c r="D44" s="17" t="inlineStr">
        <is>
          <t>Architektonický princip Banky</t>
        </is>
      </c>
      <c r="E44" s="16" t="inlineStr">
        <is>
          <t>Should</t>
        </is>
      </c>
      <c r="F44" s="16" t="inlineStr">
        <is>
          <t>Ne</t>
        </is>
      </c>
      <c r="G44" s="17" t="inlineStr">
        <is>
          <t>Dokument nahraný k případu je dohledatelný v DMS s identifikátorem případu.</t>
        </is>
      </c>
      <c r="H44" s="16" t="inlineStr">
        <is>
          <t>5.5</t>
        </is>
      </c>
      <c r="I44" s="16" t="inlineStr">
        <is>
          <t>Byznys (30 %)</t>
        </is>
      </c>
      <c r="J44" s="18" t="n"/>
      <c r="K44" s="19" t="n"/>
      <c r="L44" s="18" t="n"/>
      <c r="M44" s="20">
        <f>IF(J44="","",IF(OR(J44="OOTB",J44="Konfigurace",J44="Custom vývoj"),IF(L44="","CHYBÍ odkaz FS","OK"),"N/A"))</f>
        <v/>
      </c>
    </row>
    <row r="45">
      <c r="A45" s="16" t="inlineStr">
        <is>
          <t>CAS-007</t>
        </is>
      </c>
      <c r="B45" s="16" t="inlineStr">
        <is>
          <t>CAS</t>
        </is>
      </c>
      <c r="C45" s="17" t="inlineStr">
        <is>
          <t>Eskalace případu na pověřenou osobu (MLRO) a příprava podkladu pro oznámení podezřelého obchodu s předvyplněním údajů z případu.</t>
        </is>
      </c>
      <c r="D45" s="17" t="inlineStr">
        <is>
          <t>§ 18 a § 22 z. č. 253/2008 Sb.</t>
        </is>
      </c>
      <c r="E45" s="16" t="inlineStr">
        <is>
          <t>Must</t>
        </is>
      </c>
      <c r="F45" s="16" t="inlineStr">
        <is>
          <t>Ne</t>
        </is>
      </c>
      <c r="G45" s="17" t="inlineStr">
        <is>
          <t>Z případu lze jedním krokem vytvořit koncept OPO s údaji o klientovi a transakcích.</t>
        </is>
      </c>
      <c r="H45" s="16" t="inlineStr">
        <is>
          <t>6.4</t>
        </is>
      </c>
      <c r="I45" s="16" t="inlineStr">
        <is>
          <t>Byznys (30 %)</t>
        </is>
      </c>
      <c r="J45" s="18" t="n"/>
      <c r="K45" s="19" t="n"/>
      <c r="L45" s="18" t="n"/>
      <c r="M45" s="20">
        <f>IF(J45="","",IF(OR(J45="OOTB",J45="Konfigurace",J45="Custom vývoj"),IF(L45="","CHYBÍ odkaz FS","OK"),"N/A"))</f>
        <v/>
      </c>
    </row>
    <row r="46">
      <c r="A46" s="16" t="inlineStr">
        <is>
          <t>CAS-008</t>
        </is>
      </c>
      <c r="B46" s="16" t="inlineStr">
        <is>
          <t>CAS</t>
        </is>
      </c>
      <c r="C46" s="17" t="inlineStr">
        <is>
          <t>Hromadné uzavření alertů je možné jen s povinným zdůvodněním a zvláštním oprávněním.</t>
        </is>
      </c>
      <c r="D46" s="17" t="inlineStr">
        <is>
          <t>Auditovatelnost</t>
        </is>
      </c>
      <c r="E46" s="16" t="inlineStr">
        <is>
          <t>Could</t>
        </is>
      </c>
      <c r="F46" s="16" t="inlineStr">
        <is>
          <t>Ne</t>
        </is>
      </c>
      <c r="G46" s="17" t="inlineStr">
        <is>
          <t>Uživatel bez oprávnění funkci nevidí; hromadná akce je v auditní stopě.</t>
        </is>
      </c>
      <c r="H46" s="16" t="inlineStr">
        <is>
          <t>6.4</t>
        </is>
      </c>
      <c r="I46" s="16" t="inlineStr">
        <is>
          <t>Byznys (30 %)</t>
        </is>
      </c>
      <c r="J46" s="18" t="n"/>
      <c r="K46" s="19" t="n"/>
      <c r="L46" s="18" t="n"/>
      <c r="M46" s="20">
        <f>IF(J46="","",IF(OR(J46="OOTB",J46="Konfigurace",J46="Custom vývoj"),IF(L46="","CHYBÍ odkaz FS","OK"),"N/A"))</f>
        <v/>
      </c>
    </row>
    <row r="47">
      <c r="A47" s="16" t="inlineStr">
        <is>
          <t>REP-001</t>
        </is>
      </c>
      <c r="B47" s="16" t="inlineStr">
        <is>
          <t>REP</t>
        </is>
      </c>
      <c r="C47" s="17" t="inlineStr">
        <is>
          <t>Generování oznámení podezřelého obchodu (OPO) ve struktuře požadované Finančním analytickým úřadem pro elektronické podání.</t>
        </is>
      </c>
      <c r="D47" s="17" t="inlineStr">
        <is>
          <t>§ 18 z. č. 253/2008 Sb.; metodika FAÚ</t>
        </is>
      </c>
      <c r="E47" s="16" t="inlineStr">
        <is>
          <t>Must</t>
        </is>
      </c>
      <c r="F47" s="16" t="inlineStr">
        <is>
          <t>Ne</t>
        </is>
      </c>
      <c r="G47" s="17" t="inlineStr">
        <is>
          <t>Vygenerovaný soubor projde validací formátu FAÚ bez ručních úprav.</t>
        </is>
      </c>
      <c r="H47" s="16" t="inlineStr">
        <is>
          <t>6.5</t>
        </is>
      </c>
      <c r="I47" s="16" t="inlineStr">
        <is>
          <t>Byznys (30 %)</t>
        </is>
      </c>
      <c r="J47" s="18" t="n"/>
      <c r="K47" s="19" t="n"/>
      <c r="L47" s="18" t="n"/>
      <c r="M47" s="20">
        <f>IF(J47="","",IF(OR(J47="OOTB",J47="Konfigurace",J47="Custom vývoj"),IF(L47="","CHYBÍ odkaz FS","OK"),"N/A"))</f>
        <v/>
      </c>
    </row>
    <row r="48">
      <c r="A48" s="16" t="inlineStr">
        <is>
          <t>REP-002</t>
        </is>
      </c>
      <c r="B48" s="16" t="inlineStr">
        <is>
          <t>REP</t>
        </is>
      </c>
      <c r="C48" s="17" t="inlineStr">
        <is>
          <t>Manažerský reporting: počty alertů a případů, backlog, doba zpracování, míra falešně pozitivních shod, rozložení rizikovosti klientské báze.</t>
        </is>
      </c>
      <c r="D48" s="17" t="inlineStr">
        <is>
          <t>Řízení Compliance; zpráva pro představenstvo</t>
        </is>
      </c>
      <c r="E48" s="16" t="inlineStr">
        <is>
          <t>Should</t>
        </is>
      </c>
      <c r="F48" s="16" t="inlineStr">
        <is>
          <t>Ne</t>
        </is>
      </c>
      <c r="G48" s="17" t="inlineStr">
        <is>
          <t>Report je dostupný v UI a exportovatelný do XLSX a PDF.</t>
        </is>
      </c>
      <c r="H48" s="16" t="inlineStr">
        <is>
          <t>6.5</t>
        </is>
      </c>
      <c r="I48" s="16" t="inlineStr">
        <is>
          <t>Byznys (30 %)</t>
        </is>
      </c>
      <c r="J48" s="18" t="n"/>
      <c r="K48" s="19" t="n"/>
      <c r="L48" s="18" t="n"/>
      <c r="M48" s="20">
        <f>IF(J48="","",IF(OR(J48="OOTB",J48="Konfigurace",J48="Custom vývoj"),IF(L48="","CHYBÍ odkaz FS","OK"),"N/A"))</f>
        <v/>
      </c>
    </row>
    <row r="49">
      <c r="A49" s="16" t="inlineStr">
        <is>
          <t>REP-003</t>
        </is>
      </c>
      <c r="B49" s="16" t="inlineStr">
        <is>
          <t>REP</t>
        </is>
      </c>
      <c r="C49" s="17" t="inlineStr">
        <is>
          <t>Podklady pro výroční hodnocení rizik a systému vnitřních zásad a pro pravidelný sběr dat ČNB v oblasti AML.</t>
        </is>
      </c>
      <c r="D49" s="17" t="inlineStr">
        <is>
          <t>§ 21 a § 21a z. č. 253/2008 Sb.; vyhl. ČNB č. 67/2018 Sb.</t>
        </is>
      </c>
      <c r="E49" s="16" t="inlineStr">
        <is>
          <t>Should</t>
        </is>
      </c>
      <c r="F49" s="16" t="inlineStr">
        <is>
          <t>Ne</t>
        </is>
      </c>
      <c r="G49" s="17" t="inlineStr">
        <is>
          <t>Předdefinované exporty pokrývají ukazatele, které Banka reportuje ČNB.</t>
        </is>
      </c>
      <c r="H49" s="16" t="inlineStr">
        <is>
          <t>6.5</t>
        </is>
      </c>
      <c r="I49" s="16" t="inlineStr">
        <is>
          <t>Byznys (30 %)</t>
        </is>
      </c>
      <c r="J49" s="18" t="n"/>
      <c r="K49" s="19" t="n"/>
      <c r="L49" s="18" t="n"/>
      <c r="M49" s="20">
        <f>IF(J49="","",IF(OR(J49="OOTB",J49="Konfigurace",J49="Custom vývoj"),IF(L49="","CHYBÍ odkaz FS","OK"),"N/A"))</f>
        <v/>
      </c>
    </row>
    <row r="50">
      <c r="A50" s="16" t="inlineStr">
        <is>
          <t>REP-004</t>
        </is>
      </c>
      <c r="B50" s="16" t="inlineStr">
        <is>
          <t>REP</t>
        </is>
      </c>
      <c r="C50" s="17" t="inlineStr">
        <is>
          <t>Vyhledání všech údajů o klientovi, jeho případech a transakcích za zadané období pro odpověď na dotaz FAÚ nebo orgánu činného v trestním řízení.</t>
        </is>
      </c>
      <c r="D50" s="17" t="inlineStr">
        <is>
          <t>§ 24 z. č. 253/2008 Sb.</t>
        </is>
      </c>
      <c r="E50" s="16" t="inlineStr">
        <is>
          <t>Must</t>
        </is>
      </c>
      <c r="F50" s="16" t="inlineStr">
        <is>
          <t>Ne</t>
        </is>
      </c>
      <c r="G50" s="17" t="inlineStr">
        <is>
          <t>Kompletní export pro jednoho klienta za 5 let je hotov do 1 hodiny.</t>
        </is>
      </c>
      <c r="H50" s="16" t="inlineStr">
        <is>
          <t>6.5</t>
        </is>
      </c>
      <c r="I50" s="16" t="inlineStr">
        <is>
          <t>Byznys (30 %)</t>
        </is>
      </c>
      <c r="J50" s="18" t="n"/>
      <c r="K50" s="19" t="n"/>
      <c r="L50" s="18" t="n"/>
      <c r="M50" s="20">
        <f>IF(J50="","",IF(OR(J50="OOTB",J50="Konfigurace",J50="Custom vývoj"),IF(L50="","CHYBÍ odkaz FS","OK"),"N/A"))</f>
        <v/>
      </c>
    </row>
    <row r="51">
      <c r="A51" s="16" t="inlineStr">
        <is>
          <t>INT-001</t>
        </is>
      </c>
      <c r="B51" s="16" t="inlineStr">
        <is>
          <t>INT</t>
        </is>
      </c>
      <c r="C51" s="17" t="inlineStr">
        <is>
          <t>Obousměrná integrace s CRM přes REST API: požadavek na onboarding, stav KYC, rizikový profil, termín revize a rozhodnutí; změny z AML se do CRM posílají událostmi.</t>
        </is>
      </c>
      <c r="D51" s="17" t="inlineStr">
        <is>
          <t>Případová studie: CRM je core aplikace</t>
        </is>
      </c>
      <c r="E51" s="16" t="inlineStr">
        <is>
          <t>Must</t>
        </is>
      </c>
      <c r="F51" s="21" t="inlineStr">
        <is>
          <t>Ano</t>
        </is>
      </c>
      <c r="G51" s="17" t="inlineStr">
        <is>
          <t>Integrační scénáře onboardingu, revize a blokace projdou E2E testem v SIT.</t>
        </is>
      </c>
      <c r="H51" s="16" t="inlineStr">
        <is>
          <t>5.1</t>
        </is>
      </c>
      <c r="I51" s="16" t="inlineStr">
        <is>
          <t>K.O. (Pass/Fail)</t>
        </is>
      </c>
      <c r="J51" s="18" t="n"/>
      <c r="K51" s="19" t="n"/>
      <c r="L51" s="18" t="n"/>
      <c r="M51" s="20">
        <f>IF(J51="","",IF(OR(J51="OOTB",J51="Konfigurace",J51="Custom vývoj"),IF(L51="","CHYBÍ odkaz FS","OK"),"N/A"))</f>
        <v/>
      </c>
    </row>
    <row r="52">
      <c r="A52" s="16" t="inlineStr">
        <is>
          <t>INT-002</t>
        </is>
      </c>
      <c r="B52" s="16" t="inlineStr">
        <is>
          <t>INT</t>
        </is>
      </c>
      <c r="C52" s="17" t="inlineStr">
        <is>
          <t>Systém se napojí na core banking přes bankovní Kafka sběrnici (události transakcí a změn klientských dat).</t>
        </is>
      </c>
      <c r="D52" s="17" t="inlineStr">
        <is>
          <t>Architektonický standard Banky (event-driven)</t>
        </is>
      </c>
      <c r="E52" s="16" t="inlineStr">
        <is>
          <t>Must</t>
        </is>
      </c>
      <c r="F52" s="16" t="inlineStr">
        <is>
          <t>Ne</t>
        </is>
      </c>
      <c r="G52" s="17" t="inlineStr">
        <is>
          <t>Konzumace topiců transakcí v objemu dle NFR-003 bez ztráty zpráv.</t>
        </is>
      </c>
      <c r="H52" s="16" t="inlineStr">
        <is>
          <t>5.2</t>
        </is>
      </c>
      <c r="I52" s="16" t="inlineStr">
        <is>
          <t>Podklad pro FS (20 %)</t>
        </is>
      </c>
      <c r="J52" s="18" t="n"/>
      <c r="K52" s="19" t="n"/>
      <c r="L52" s="18" t="n"/>
      <c r="M52" s="20">
        <f>IF(J52="","",IF(OR(J52="OOTB",J52="Konfigurace",J52="Custom vývoj"),IF(L52="","CHYBÍ odkaz FS","OK"),"N/A"))</f>
        <v/>
      </c>
    </row>
    <row r="53">
      <c r="A53" s="16" t="inlineStr">
        <is>
          <t>INT-003</t>
        </is>
      </c>
      <c r="B53" s="16" t="inlineStr">
        <is>
          <t>INT</t>
        </is>
      </c>
      <c r="C53" s="17" t="inlineStr">
        <is>
          <t>Integrace na bankovní ESB (REST/SOAP) pro legacy systémy, které nemají Kafka rozhraní.</t>
        </is>
      </c>
      <c r="D53" s="17" t="inlineStr">
        <is>
          <t>Architektonický standard Banky</t>
        </is>
      </c>
      <c r="E53" s="16" t="inlineStr">
        <is>
          <t>Should</t>
        </is>
      </c>
      <c r="F53" s="16" t="inlineStr">
        <is>
          <t>Ne</t>
        </is>
      </c>
      <c r="G53" s="17" t="inlineStr">
        <is>
          <t>Ověřeno na rozhraní systému správy aktiv.</t>
        </is>
      </c>
      <c r="H53" s="16" t="inlineStr">
        <is>
          <t>5.3</t>
        </is>
      </c>
      <c r="I53" s="16" t="inlineStr">
        <is>
          <t>Podklad pro FS (20 %)</t>
        </is>
      </c>
      <c r="J53" s="18" t="n"/>
      <c r="K53" s="19" t="n"/>
      <c r="L53" s="18" t="n"/>
      <c r="M53" s="20">
        <f>IF(J53="","",IF(OR(J53="OOTB",J53="Konfigurace",J53="Custom vývoj"),IF(L53="","CHYBÍ odkaz FS","OK"),"N/A"))</f>
        <v/>
      </c>
    </row>
    <row r="54">
      <c r="A54" s="16" t="inlineStr">
        <is>
          <t>INT-004</t>
        </is>
      </c>
      <c r="B54" s="16" t="inlineStr">
        <is>
          <t>INT</t>
        </is>
      </c>
      <c r="C54" s="17" t="inlineStr">
        <is>
          <t>Synchronní integrace s platebním systémem pro screening a pozastavení plateb (viz SCR-007, TM-006).</t>
        </is>
      </c>
      <c r="D54" s="17" t="inlineStr">
        <is>
          <t>Sankční povinnosti</t>
        </is>
      </c>
      <c r="E54" s="16" t="inlineStr">
        <is>
          <t>Must</t>
        </is>
      </c>
      <c r="F54" s="16" t="inlineStr">
        <is>
          <t>Ne</t>
        </is>
      </c>
      <c r="G54" s="17" t="inlineStr">
        <is>
          <t>Platební systém dostane odpověď (uvolnit / pozastavit) v limitu NFR-003.</t>
        </is>
      </c>
      <c r="H54" s="16" t="inlineStr">
        <is>
          <t>5.4</t>
        </is>
      </c>
      <c r="I54" s="16" t="inlineStr">
        <is>
          <t>Podklad pro FS (20 %)</t>
        </is>
      </c>
      <c r="J54" s="18" t="n"/>
      <c r="K54" s="19" t="n"/>
      <c r="L54" s="18" t="n"/>
      <c r="M54" s="20">
        <f>IF(J54="","",IF(OR(J54="OOTB",J54="Konfigurace",J54="Custom vývoj"),IF(L54="","CHYBÍ odkaz FS","OK"),"N/A"))</f>
        <v/>
      </c>
    </row>
    <row r="55">
      <c r="A55" s="16" t="inlineStr">
        <is>
          <t>INT-005</t>
        </is>
      </c>
      <c r="B55" s="16" t="inlineStr">
        <is>
          <t>INT</t>
        </is>
      </c>
      <c r="C55" s="17" t="inlineStr">
        <is>
          <t>Denní export dat (klienti, rizikové profily, alerty, případy) do DWH v dokumentovaném datovém modelu (CSV nebo Parquet).</t>
        </is>
      </c>
      <c r="D55" s="17" t="inlineStr">
        <is>
          <t>Reporting a datová správa</t>
        </is>
      </c>
      <c r="E55" s="16" t="inlineStr">
        <is>
          <t>Must</t>
        </is>
      </c>
      <c r="F55" s="16" t="inlineStr">
        <is>
          <t>Ne</t>
        </is>
      </c>
      <c r="G55" s="17" t="inlineStr">
        <is>
          <t>Export je k dispozici do 6:00 a obsahuje popis změn modelu mezi verzemi.</t>
        </is>
      </c>
      <c r="H55" s="16" t="inlineStr">
        <is>
          <t>5.5</t>
        </is>
      </c>
      <c r="I55" s="16" t="inlineStr">
        <is>
          <t>Podklad pro FS (20 %)</t>
        </is>
      </c>
      <c r="J55" s="18" t="n"/>
      <c r="K55" s="19" t="n"/>
      <c r="L55" s="18" t="n"/>
      <c r="M55" s="20">
        <f>IF(J55="","",IF(OR(J55="OOTB",J55="Konfigurace",J55="Custom vývoj"),IF(L55="","CHYBÍ odkaz FS","OK"),"N/A"))</f>
        <v/>
      </c>
    </row>
    <row r="56">
      <c r="A56" s="16" t="inlineStr">
        <is>
          <t>INT-006</t>
        </is>
      </c>
      <c r="B56" s="16" t="inlineStr">
        <is>
          <t>INT</t>
        </is>
      </c>
      <c r="C56" s="17" t="inlineStr">
        <is>
          <t>Napojení na bankovní DMS přes jeho REST API.</t>
        </is>
      </c>
      <c r="D56" s="17" t="inlineStr">
        <is>
          <t>Architektonický princip Banky</t>
        </is>
      </c>
      <c r="E56" s="16" t="inlineStr">
        <is>
          <t>Should</t>
        </is>
      </c>
      <c r="F56" s="16" t="inlineStr">
        <is>
          <t>Ne</t>
        </is>
      </c>
      <c r="G56" s="17" t="inlineStr">
        <is>
          <t>Viz CAS-006.</t>
        </is>
      </c>
      <c r="H56" s="16" t="inlineStr">
        <is>
          <t>5.5</t>
        </is>
      </c>
      <c r="I56" s="16" t="inlineStr">
        <is>
          <t>Podklad pro FS (20 %)</t>
        </is>
      </c>
      <c r="J56" s="18" t="n"/>
      <c r="K56" s="19" t="n"/>
      <c r="L56" s="18" t="n"/>
      <c r="M56" s="20">
        <f>IF(J56="","",IF(OR(J56="OOTB",J56="Konfigurace",J56="Custom vývoj"),IF(L56="","CHYBÍ odkaz FS","OK"),"N/A"))</f>
        <v/>
      </c>
    </row>
    <row r="57">
      <c r="A57" s="16" t="inlineStr">
        <is>
          <t>INT-007</t>
        </is>
      </c>
      <c r="B57" s="16" t="inlineStr">
        <is>
          <t>INT</t>
        </is>
      </c>
      <c r="C57" s="17" t="inlineStr">
        <is>
          <t>Předávání bezpečnostních a auditních logů do SIEM Banky (Splunk) v reálném čase.</t>
        </is>
      </c>
      <c r="D57" s="17" t="inlineStr">
        <is>
          <t>DORA čl. 10; bezpečnostní politika Banky</t>
        </is>
      </c>
      <c r="E57" s="16" t="inlineStr">
        <is>
          <t>Must</t>
        </is>
      </c>
      <c r="F57" s="16" t="inlineStr">
        <is>
          <t>Ne</t>
        </is>
      </c>
      <c r="G57" s="17" t="inlineStr">
        <is>
          <t>Přihlášení, změna oprávnění a změna konfigurace se objeví v SIEM do 1 minuty.</t>
        </is>
      </c>
      <c r="H57" s="16" t="inlineStr">
        <is>
          <t>5.5</t>
        </is>
      </c>
      <c r="I57" s="16" t="inlineStr">
        <is>
          <t>Podklad pro FS (20 %)</t>
        </is>
      </c>
      <c r="J57" s="18" t="n"/>
      <c r="K57" s="19" t="n"/>
      <c r="L57" s="18" t="n"/>
      <c r="M57" s="20">
        <f>IF(J57="","",IF(OR(J57="OOTB",J57="Konfigurace",J57="Custom vývoj"),IF(L57="","CHYBÍ odkaz FS","OK"),"N/A"))</f>
        <v/>
      </c>
    </row>
    <row r="58">
      <c r="A58" s="16" t="inlineStr">
        <is>
          <t>INT-008</t>
        </is>
      </c>
      <c r="B58" s="16" t="inlineStr">
        <is>
          <t>INT</t>
        </is>
      </c>
      <c r="C58" s="17" t="inlineStr">
        <is>
          <t>Health-check endpointy a provozní metriky pro monitoring Banky (Zabbix / AppDynamics).</t>
        </is>
      </c>
      <c r="D58" s="17" t="inlineStr">
        <is>
          <t>Provozní standard Banky</t>
        </is>
      </c>
      <c r="E58" s="16" t="inlineStr">
        <is>
          <t>Must</t>
        </is>
      </c>
      <c r="F58" s="16" t="inlineStr">
        <is>
          <t>Ne</t>
        </is>
      </c>
      <c r="G58" s="17" t="inlineStr">
        <is>
          <t>Monitoring Banky zachytí nedostupnost komponenty do 2 minut.</t>
        </is>
      </c>
      <c r="H58" s="16" t="inlineStr">
        <is>
          <t>5.5</t>
        </is>
      </c>
      <c r="I58" s="16" t="inlineStr">
        <is>
          <t>Podklad pro FS (20 %)</t>
        </is>
      </c>
      <c r="J58" s="18" t="n"/>
      <c r="K58" s="19" t="n"/>
      <c r="L58" s="18" t="n"/>
      <c r="M58" s="20">
        <f>IF(J58="","",IF(OR(J58="OOTB",J58="Konfigurace",J58="Custom vývoj"),IF(L58="","CHYBÍ odkaz FS","OK"),"N/A"))</f>
        <v/>
      </c>
    </row>
    <row r="59">
      <c r="A59" s="16" t="inlineStr">
        <is>
          <t>INT-009</t>
        </is>
      </c>
      <c r="B59" s="16" t="inlineStr">
        <is>
          <t>INT</t>
        </is>
      </c>
      <c r="C59" s="17" t="inlineStr">
        <is>
          <t>API je dokumentováno ve formátu OpenAPI 3, verzováno a zpětně kompatibilní min. 12 měsíců po vydání nové verze.</t>
        </is>
      </c>
      <c r="D59" s="17" t="inlineStr">
        <is>
          <t>Udržitelnost integrací</t>
        </is>
      </c>
      <c r="E59" s="16" t="inlineStr">
        <is>
          <t>Should</t>
        </is>
      </c>
      <c r="F59" s="16" t="inlineStr">
        <is>
          <t>Ne</t>
        </is>
      </c>
      <c r="G59" s="17" t="inlineStr">
        <is>
          <t>Dodavatel předloží OpenAPI specifikaci jako součást nabídky.</t>
        </is>
      </c>
      <c r="H59" s="16" t="inlineStr">
        <is>
          <t>5.1</t>
        </is>
      </c>
      <c r="I59" s="16" t="inlineStr">
        <is>
          <t>Podklad pro FS (20 %)</t>
        </is>
      </c>
      <c r="J59" s="18" t="n"/>
      <c r="K59" s="19" t="n"/>
      <c r="L59" s="18" t="n"/>
      <c r="M59" s="20">
        <f>IF(J59="","",IF(OR(J59="OOTB",J59="Konfigurace",J59="Custom vývoj"),IF(L59="","CHYBÍ odkaz FS","OK"),"N/A"))</f>
        <v/>
      </c>
    </row>
    <row r="60">
      <c r="A60" s="16" t="inlineStr">
        <is>
          <t>INT-010</t>
        </is>
      </c>
      <c r="B60" s="16" t="inlineStr">
        <is>
          <t>INT</t>
        </is>
      </c>
      <c r="C60" s="17" t="inlineStr">
        <is>
          <t>Napojení na veřejné registry (ARES, ESM) přes bankovní integrační vrstvu.</t>
        </is>
      </c>
      <c r="D60" s="17" t="inlineStr">
        <is>
          <t>Viz KYC-005, KYC-006</t>
        </is>
      </c>
      <c r="E60" s="16" t="inlineStr">
        <is>
          <t>Could</t>
        </is>
      </c>
      <c r="F60" s="16" t="inlineStr">
        <is>
          <t>Ne</t>
        </is>
      </c>
      <c r="G60" s="17" t="inlineStr">
        <is>
          <t>Volání registrů jde přes ESB, ne napřímo z aplikace.</t>
        </is>
      </c>
      <c r="H60" s="16" t="inlineStr">
        <is>
          <t>5.6</t>
        </is>
      </c>
      <c r="I60" s="16" t="inlineStr">
        <is>
          <t>Podklad pro FS (20 %)</t>
        </is>
      </c>
      <c r="J60" s="18" t="n"/>
      <c r="K60" s="19" t="n"/>
      <c r="L60" s="18" t="n"/>
      <c r="M60" s="20">
        <f>IF(J60="","",IF(OR(J60="OOTB",J60="Konfigurace",J60="Custom vývoj"),IF(L60="","CHYBÍ odkaz FS","OK"),"N/A"))</f>
        <v/>
      </c>
    </row>
    <row r="61">
      <c r="A61" s="16" t="inlineStr">
        <is>
          <t>MIG-001</t>
        </is>
      </c>
      <c r="B61" s="16" t="inlineStr">
        <is>
          <t>MIG</t>
        </is>
      </c>
      <c r="C61" s="17" t="inlineStr">
        <is>
          <t>Migrace KYC dat, rizikových profilů, historie screeningu, alertů a případů ze současného AML systému za období 10 let.</t>
        </is>
      </c>
      <c r="D61" s="17" t="inlineStr">
        <is>
          <t>§ 16 z. č. 253/2008 Sb.</t>
        </is>
      </c>
      <c r="E61" s="16" t="inlineStr">
        <is>
          <t>Must</t>
        </is>
      </c>
      <c r="F61" s="16" t="inlineStr">
        <is>
          <t>Ne</t>
        </is>
      </c>
      <c r="G61" s="17" t="inlineStr">
        <is>
          <t>Po migraci je u vzorku 200 klientů dohledatelná celá historie.</t>
        </is>
      </c>
      <c r="H61" s="16" t="inlineStr">
        <is>
          <t>7.2</t>
        </is>
      </c>
      <c r="I61" s="16" t="inlineStr">
        <is>
          <t>Podklad pro FS (20 %)</t>
        </is>
      </c>
      <c r="J61" s="18" t="n"/>
      <c r="K61" s="19" t="n"/>
      <c r="L61" s="18" t="n"/>
      <c r="M61" s="20">
        <f>IF(J61="","",IF(OR(J61="OOTB",J61="Konfigurace",J61="Custom vývoj"),IF(L61="","CHYBÍ odkaz FS","OK"),"N/A"))</f>
        <v/>
      </c>
    </row>
    <row r="62">
      <c r="A62" s="16" t="inlineStr">
        <is>
          <t>MIG-002</t>
        </is>
      </c>
      <c r="B62" s="16" t="inlineStr">
        <is>
          <t>MIG</t>
        </is>
      </c>
      <c r="C62" s="17" t="inlineStr">
        <is>
          <t>Přechod bez přerušení onboardingu a screeningu: souběžný provoz obou systémů min. 4 týdny s porovnáním výsledků.</t>
        </is>
      </c>
      <c r="D62" s="17" t="inlineStr">
        <is>
          <t>Kontinuita služeb; DORA čl. 11</t>
        </is>
      </c>
      <c r="E62" s="16" t="inlineStr">
        <is>
          <t>Must</t>
        </is>
      </c>
      <c r="F62" s="16" t="inlineStr">
        <is>
          <t>Ne</t>
        </is>
      </c>
      <c r="G62" s="17" t="inlineStr">
        <is>
          <t>Odchylky výsledků screeningu mezi systémy jsou vysvětleny před vypnutím starého systému.</t>
        </is>
      </c>
      <c r="H62" s="16" t="inlineStr">
        <is>
          <t>7.3</t>
        </is>
      </c>
      <c r="I62" s="16" t="inlineStr">
        <is>
          <t>Podklad pro FS (20 %)</t>
        </is>
      </c>
      <c r="J62" s="18" t="n"/>
      <c r="K62" s="19" t="n"/>
      <c r="L62" s="18" t="n"/>
      <c r="M62" s="20">
        <f>IF(J62="","",IF(OR(J62="OOTB",J62="Konfigurace",J62="Custom vývoj"),IF(L62="","CHYBÍ odkaz FS","OK"),"N/A"))</f>
        <v/>
      </c>
    </row>
    <row r="63">
      <c r="A63" s="16" t="inlineStr">
        <is>
          <t>MIG-003</t>
        </is>
      </c>
      <c r="B63" s="16" t="inlineStr">
        <is>
          <t>MIG</t>
        </is>
      </c>
      <c r="C63" s="17" t="inlineStr">
        <is>
          <t>Dodavatel zajistí datové mapování, profilaci a reporting kvality dat; opravu dat provádí Banka s nástroji dodavatele.</t>
        </is>
      </c>
      <c r="D63" s="17" t="inlineStr">
        <is>
          <t>Rozdělení odpovědnosti</t>
        </is>
      </c>
      <c r="E63" s="16" t="inlineStr">
        <is>
          <t>Should</t>
        </is>
      </c>
      <c r="F63" s="16" t="inlineStr">
        <is>
          <t>Ne</t>
        </is>
      </c>
      <c r="G63" s="17" t="inlineStr">
        <is>
          <t>Report kvality dat je k dispozici po každém zkušebním běhu migrace.</t>
        </is>
      </c>
      <c r="H63" s="16" t="inlineStr">
        <is>
          <t>7.2</t>
        </is>
      </c>
      <c r="I63" s="16" t="inlineStr">
        <is>
          <t>Podklad pro FS (20 %)</t>
        </is>
      </c>
      <c r="J63" s="18" t="n"/>
      <c r="K63" s="19" t="n"/>
      <c r="L63" s="18" t="n"/>
      <c r="M63" s="20">
        <f>IF(J63="","",IF(OR(J63="OOTB",J63="Konfigurace",J63="Custom vývoj"),IF(L63="","CHYBÍ odkaz FS","OK"),"N/A"))</f>
        <v/>
      </c>
    </row>
    <row r="64">
      <c r="A64" s="16" t="inlineStr">
        <is>
          <t>MIG-004</t>
        </is>
      </c>
      <c r="B64" s="16" t="inlineStr">
        <is>
          <t>MIG</t>
        </is>
      </c>
      <c r="C64" s="17" t="inlineStr">
        <is>
          <t>Rekonciliace 100 % migrovaných záznamů kontrolními součty a počty, s protokolem podepsaným Bankou i dodavatelem.</t>
        </is>
      </c>
      <c r="D64" s="17" t="inlineStr">
        <is>
          <t>Auditovatelnost migrace</t>
        </is>
      </c>
      <c r="E64" s="16" t="inlineStr">
        <is>
          <t>Must</t>
        </is>
      </c>
      <c r="F64" s="16" t="inlineStr">
        <is>
          <t>Ne</t>
        </is>
      </c>
      <c r="G64" s="17" t="inlineStr">
        <is>
          <t>Protokol rekonciliace je podmínkou go-live.</t>
        </is>
      </c>
      <c r="H64" s="16" t="inlineStr">
        <is>
          <t>7.2</t>
        </is>
      </c>
      <c r="I64" s="16" t="inlineStr">
        <is>
          <t>Podklad pro FS (20 %)</t>
        </is>
      </c>
      <c r="J64" s="18" t="n"/>
      <c r="K64" s="19" t="n"/>
      <c r="L64" s="18" t="n"/>
      <c r="M64" s="20">
        <f>IF(J64="","",IF(OR(J64="OOTB",J64="Konfigurace",J64="Custom vývoj"),IF(L64="","CHYBÍ odkaz FS","OK"),"N/A"))</f>
        <v/>
      </c>
    </row>
    <row r="65">
      <c r="A65" s="16" t="inlineStr">
        <is>
          <t>MIG-005</t>
        </is>
      </c>
      <c r="B65" s="16" t="inlineStr">
        <is>
          <t>MIG</t>
        </is>
      </c>
      <c r="C65" s="17" t="inlineStr">
        <is>
          <t>Plán návratu (rollback) pro každou fázi přechodu.</t>
        </is>
      </c>
      <c r="D65" s="17" t="inlineStr">
        <is>
          <t>Řízení rizik</t>
        </is>
      </c>
      <c r="E65" s="16" t="inlineStr">
        <is>
          <t>Must</t>
        </is>
      </c>
      <c r="F65" s="16" t="inlineStr">
        <is>
          <t>Ne</t>
        </is>
      </c>
      <c r="G65" s="17" t="inlineStr">
        <is>
          <t>Rollback je vyzkoušen na PreProd prostředí.</t>
        </is>
      </c>
      <c r="H65" s="16" t="inlineStr">
        <is>
          <t>7.3</t>
        </is>
      </c>
      <c r="I65" s="16" t="inlineStr">
        <is>
          <t>Podklad pro FS (20 %)</t>
        </is>
      </c>
      <c r="J65" s="18" t="n"/>
      <c r="K65" s="19" t="n"/>
      <c r="L65" s="18" t="n"/>
      <c r="M65" s="20">
        <f>IF(J65="","",IF(OR(J65="OOTB",J65="Konfigurace",J65="Custom vývoj"),IF(L65="","CHYBÍ odkaz FS","OK"),"N/A"))</f>
        <v/>
      </c>
    </row>
    <row r="66">
      <c r="A66" s="16" t="inlineStr">
        <is>
          <t>NFR-001</t>
        </is>
      </c>
      <c r="B66" s="16" t="inlineStr">
        <is>
          <t>NFR</t>
        </is>
      </c>
      <c r="C66" s="17" t="inlineStr">
        <is>
          <t>Dostupnost produkce 99,9 % měsíčně, měřená end-to-end syntetickými transakcemi z monitoringu Banky (viz Příloha 4 – SLA).</t>
        </is>
      </c>
      <c r="D66" s="17" t="inlineStr">
        <is>
          <t>Kritická funkce Banky</t>
        </is>
      </c>
      <c r="E66" s="16" t="inlineStr">
        <is>
          <t>Must</t>
        </is>
      </c>
      <c r="F66" s="16" t="inlineStr">
        <is>
          <t>Ne</t>
        </is>
      </c>
      <c r="G66" s="17" t="inlineStr">
        <is>
          <t>Dodavatel akceptuje metodiku měření dle Přílohy 4.</t>
        </is>
      </c>
      <c r="H66" s="16" t="inlineStr">
        <is>
          <t>8.1</t>
        </is>
      </c>
      <c r="I66" s="16" t="inlineStr">
        <is>
          <t>Podklad pro FS (20 %)</t>
        </is>
      </c>
      <c r="J66" s="18" t="n"/>
      <c r="K66" s="19" t="n"/>
      <c r="L66" s="18" t="n"/>
      <c r="M66" s="20">
        <f>IF(J66="","",IF(OR(J66="OOTB",J66="Konfigurace",J66="Custom vývoj"),IF(L66="","CHYBÍ odkaz FS","OK"),"N/A"))</f>
        <v/>
      </c>
    </row>
    <row r="67">
      <c r="A67" s="16" t="inlineStr">
        <is>
          <t>NFR-002</t>
        </is>
      </c>
      <c r="B67" s="16" t="inlineStr">
        <is>
          <t>NFR</t>
        </is>
      </c>
      <c r="C67" s="17" t="inlineStr">
        <is>
          <t>RTO ≤ 4 hodiny a RPO ≤ 15 minut pro produkční prostředí; test obnovy min. 1× ročně.</t>
        </is>
      </c>
      <c r="D67" s="17" t="inlineStr">
        <is>
          <t>DORA čl. 11 a 12</t>
        </is>
      </c>
      <c r="E67" s="16" t="inlineStr">
        <is>
          <t>Must</t>
        </is>
      </c>
      <c r="F67" s="16" t="inlineStr">
        <is>
          <t>Ne</t>
        </is>
      </c>
      <c r="G67" s="17" t="inlineStr">
        <is>
          <t>Výsledek testu obnovy je doložen protokolem.</t>
        </is>
      </c>
      <c r="H67" s="16" t="inlineStr">
        <is>
          <t>3.4</t>
        </is>
      </c>
      <c r="I67" s="16" t="inlineStr">
        <is>
          <t>Podklad pro FS (20 %)</t>
        </is>
      </c>
      <c r="J67" s="18" t="n"/>
      <c r="K67" s="19" t="n"/>
      <c r="L67" s="18" t="n"/>
      <c r="M67" s="20">
        <f>IF(J67="","",IF(OR(J67="OOTB",J67="Konfigurace",J67="Custom vývoj"),IF(L67="","CHYBÍ odkaz FS","OK"),"N/A"))</f>
        <v/>
      </c>
    </row>
    <row r="68">
      <c r="A68" s="16" t="inlineStr">
        <is>
          <t>NFR-003</t>
        </is>
      </c>
      <c r="B68" s="16" t="inlineStr">
        <is>
          <t>NFR</t>
        </is>
      </c>
      <c r="C68" s="17" t="inlineStr">
        <is>
          <t>Výkon: online screening subjektu ≤ 2 s (P95), screening platby ≤ 500 ms (P95), noční re-screening 60 000 subjektů ≤ 1 hodina, zpracování 1,5 mil. transakcí ročně.</t>
        </is>
      </c>
      <c r="D68" s="17" t="inlineStr">
        <is>
          <t>Objemy Banky (viz RFP kap. 4)</t>
        </is>
      </c>
      <c r="E68" s="16" t="inlineStr">
        <is>
          <t>Must</t>
        </is>
      </c>
      <c r="F68" s="16" t="inlineStr">
        <is>
          <t>Ne</t>
        </is>
      </c>
      <c r="G68" s="17" t="inlineStr">
        <is>
          <t>Výkonnostní test na PreProd prostředí s objemem +20 %.</t>
        </is>
      </c>
      <c r="H68" s="16" t="inlineStr">
        <is>
          <t>3.4</t>
        </is>
      </c>
      <c r="I68" s="16" t="inlineStr">
        <is>
          <t>Podklad pro FS (20 %)</t>
        </is>
      </c>
      <c r="J68" s="18" t="n"/>
      <c r="K68" s="19" t="n"/>
      <c r="L68" s="18" t="n"/>
      <c r="M68" s="20">
        <f>IF(J68="","",IF(OR(J68="OOTB",J68="Konfigurace",J68="Custom vývoj"),IF(L68="","CHYBÍ odkaz FS","OK"),"N/A"))</f>
        <v/>
      </c>
    </row>
    <row r="69">
      <c r="A69" s="16" t="inlineStr">
        <is>
          <t>NFR-004</t>
        </is>
      </c>
      <c r="B69" s="16" t="inlineStr">
        <is>
          <t>NFR</t>
        </is>
      </c>
      <c r="C69" s="17" t="inlineStr">
        <is>
          <t>Škálovatelnost na dvojnásobek objemů bez změny architektury.</t>
        </is>
      </c>
      <c r="D69" s="17" t="inlineStr">
        <is>
          <t>Růstová strategie Banky</t>
        </is>
      </c>
      <c r="E69" s="16" t="inlineStr">
        <is>
          <t>Should</t>
        </is>
      </c>
      <c r="F69" s="16" t="inlineStr">
        <is>
          <t>Ne</t>
        </is>
      </c>
      <c r="G69" s="17" t="inlineStr">
        <is>
          <t>Dodavatel popíše způsob škálování a jeho cenový dopad.</t>
        </is>
      </c>
      <c r="H69" s="16" t="inlineStr">
        <is>
          <t>3.4</t>
        </is>
      </c>
      <c r="I69" s="16" t="inlineStr">
        <is>
          <t>Podklad pro FS (20 %)</t>
        </is>
      </c>
      <c r="J69" s="18" t="n"/>
      <c r="K69" s="19" t="n"/>
      <c r="L69" s="18" t="n"/>
      <c r="M69" s="20">
        <f>IF(J69="","",IF(OR(J69="OOTB",J69="Konfigurace",J69="Custom vývoj"),IF(L69="","CHYBÍ odkaz FS","OK"),"N/A"))</f>
        <v/>
      </c>
    </row>
    <row r="70">
      <c r="A70" s="16" t="inlineStr">
        <is>
          <t>NFR-005</t>
        </is>
      </c>
      <c r="B70" s="16" t="inlineStr">
        <is>
          <t>NFR</t>
        </is>
      </c>
      <c r="C70" s="17" t="inlineStr">
        <is>
          <t>Prostředí DEV, SIT, UAT, PreProd (výkonnostní), PROD a DR.</t>
        </is>
      </c>
      <c r="D70" s="17" t="inlineStr">
        <is>
          <t>Standard Banky pro řízení změn</t>
        </is>
      </c>
      <c r="E70" s="16" t="inlineStr">
        <is>
          <t>Must</t>
        </is>
      </c>
      <c r="F70" s="16" t="inlineStr">
        <is>
          <t>Ne</t>
        </is>
      </c>
      <c r="G70" s="17" t="inlineStr">
        <is>
          <t>Všechna prostředí jsou oceněna v cenové šabloně.</t>
        </is>
      </c>
      <c r="H70" s="16" t="inlineStr">
        <is>
          <t>3.2</t>
        </is>
      </c>
      <c r="I70" s="16" t="inlineStr">
        <is>
          <t>Podklad pro FS (20 %)</t>
        </is>
      </c>
      <c r="J70" s="18" t="n"/>
      <c r="K70" s="19" t="n"/>
      <c r="L70" s="18" t="n"/>
      <c r="M70" s="20">
        <f>IF(J70="","",IF(OR(J70="OOTB",J70="Konfigurace",J70="Custom vývoj"),IF(L70="","CHYBÍ odkaz FS","OK"),"N/A"))</f>
        <v/>
      </c>
    </row>
    <row r="71">
      <c r="A71" s="16" t="inlineStr">
        <is>
          <t>NFR-006</t>
        </is>
      </c>
      <c r="B71" s="16" t="inlineStr">
        <is>
          <t>NFR</t>
        </is>
      </c>
      <c r="C71" s="17" t="inlineStr">
        <is>
          <t>Provoz on-premise v datových centrech Banky nebo v privátním cloudu; data a zálohy výhradně v EU/EHP.</t>
        </is>
      </c>
      <c r="D71" s="17" t="inlineStr">
        <is>
          <t>Bezpečnostní politika Banky; GDPR; DORA</t>
        </is>
      </c>
      <c r="E71" s="16" t="inlineStr">
        <is>
          <t>Must</t>
        </is>
      </c>
      <c r="F71" s="21" t="inlineStr">
        <is>
          <t>Ano</t>
        </is>
      </c>
      <c r="G71" s="17" t="inlineStr">
        <is>
          <t>Dodavatel uvede lokality zpracování všech dat včetně záloh a podpory.</t>
        </is>
      </c>
      <c r="H71" s="16" t="inlineStr">
        <is>
          <t>3.1</t>
        </is>
      </c>
      <c r="I71" s="16" t="inlineStr">
        <is>
          <t>K.O. (Pass/Fail)</t>
        </is>
      </c>
      <c r="J71" s="18" t="n"/>
      <c r="K71" s="19" t="n"/>
      <c r="L71" s="18" t="n"/>
      <c r="M71" s="20">
        <f>IF(J71="","",IF(OR(J71="OOTB",J71="Konfigurace",J71="Custom vývoj"),IF(L71="","CHYBÍ odkaz FS","OK"),"N/A"))</f>
        <v/>
      </c>
    </row>
    <row r="72">
      <c r="A72" s="16" t="inlineStr">
        <is>
          <t>NFR-007</t>
        </is>
      </c>
      <c r="B72" s="16" t="inlineStr">
        <is>
          <t>NFR</t>
        </is>
      </c>
      <c r="C72" s="17" t="inlineStr">
        <is>
          <t>Vysoká dostupnost mezi dvěma datovými centry Banky (active-passive).</t>
        </is>
      </c>
      <c r="D72" s="17" t="inlineStr">
        <is>
          <t>DORA čl. 12</t>
        </is>
      </c>
      <c r="E72" s="16" t="inlineStr">
        <is>
          <t>Must</t>
        </is>
      </c>
      <c r="F72" s="16" t="inlineStr">
        <is>
          <t>Ne</t>
        </is>
      </c>
      <c r="G72" s="17" t="inlineStr">
        <is>
          <t>Přepnutí na záložní DC proběhne do 4 hodin.</t>
        </is>
      </c>
      <c r="H72" s="16" t="inlineStr">
        <is>
          <t>3.4</t>
        </is>
      </c>
      <c r="I72" s="16" t="inlineStr">
        <is>
          <t>Podklad pro FS (20 %)</t>
        </is>
      </c>
      <c r="J72" s="18" t="n"/>
      <c r="K72" s="19" t="n"/>
      <c r="L72" s="18" t="n"/>
      <c r="M72" s="20">
        <f>IF(J72="","",IF(OR(J72="OOTB",J72="Konfigurace",J72="Custom vývoj"),IF(L72="","CHYBÍ odkaz FS","OK"),"N/A"))</f>
        <v/>
      </c>
    </row>
    <row r="73">
      <c r="A73" s="16" t="inlineStr">
        <is>
          <t>NFR-008</t>
        </is>
      </c>
      <c r="B73" s="16" t="inlineStr">
        <is>
          <t>NFR</t>
        </is>
      </c>
      <c r="C73" s="17" t="inlineStr">
        <is>
          <t>Uživatelské rozhraní v češtině a angličtině.</t>
        </is>
      </c>
      <c r="D73" s="17" t="inlineStr">
        <is>
          <t>Uživatelé Banky</t>
        </is>
      </c>
      <c r="E73" s="16" t="inlineStr">
        <is>
          <t>Should</t>
        </is>
      </c>
      <c r="F73" s="16" t="inlineStr">
        <is>
          <t>Ne</t>
        </is>
      </c>
      <c r="G73" s="17" t="inlineStr">
        <is>
          <t>Uživatel si volí jazyk v profilu.</t>
        </is>
      </c>
      <c r="H73" s="16" t="inlineStr">
        <is>
          <t>6.1</t>
        </is>
      </c>
      <c r="I73" s="16" t="inlineStr">
        <is>
          <t>Podklad pro FS (20 %)</t>
        </is>
      </c>
      <c r="J73" s="18" t="n"/>
      <c r="K73" s="19" t="n"/>
      <c r="L73" s="18" t="n"/>
      <c r="M73" s="20">
        <f>IF(J73="","",IF(OR(J73="OOTB",J73="Konfigurace",J73="Custom vývoj"),IF(L73="","CHYBÍ odkaz FS","OK"),"N/A"))</f>
        <v/>
      </c>
    </row>
    <row r="74">
      <c r="A74" s="16" t="inlineStr">
        <is>
          <t>NFR-009</t>
        </is>
      </c>
      <c r="B74" s="16" t="inlineStr">
        <is>
          <t>NFR</t>
        </is>
      </c>
      <c r="C74" s="17" t="inlineStr">
        <is>
          <t>Podpora 150 pojmenovaných a 60 souběžných uživatelů (obchod, zákaznická podpora, Compliance).</t>
        </is>
      </c>
      <c r="D74" s="17" t="inlineStr">
        <is>
          <t>Uživatelé Banky</t>
        </is>
      </c>
      <c r="E74" s="16" t="inlineStr">
        <is>
          <t>Must</t>
        </is>
      </c>
      <c r="F74" s="16" t="inlineStr">
        <is>
          <t>Ne</t>
        </is>
      </c>
      <c r="G74" s="17" t="inlineStr">
        <is>
          <t>Výkonnostní test s 60 souběžnými uživateli.</t>
        </is>
      </c>
      <c r="H74" s="16" t="inlineStr">
        <is>
          <t>3.4</t>
        </is>
      </c>
      <c r="I74" s="16" t="inlineStr">
        <is>
          <t>Podklad pro FS (20 %)</t>
        </is>
      </c>
      <c r="J74" s="18" t="n"/>
      <c r="K74" s="19" t="n"/>
      <c r="L74" s="18" t="n"/>
      <c r="M74" s="20">
        <f>IF(J74="","",IF(OR(J74="OOTB",J74="Konfigurace",J74="Custom vývoj"),IF(L74="","CHYBÍ odkaz FS","OK"),"N/A"))</f>
        <v/>
      </c>
    </row>
    <row r="75">
      <c r="A75" s="16" t="inlineStr">
        <is>
          <t>SEC-001</t>
        </is>
      </c>
      <c r="B75" s="16" t="inlineStr">
        <is>
          <t>SEC</t>
        </is>
      </c>
      <c r="C75" s="17" t="inlineStr">
        <is>
          <t>Systém podporuje SAML 2.0 / OIDC pro jednotné přihlášení (SSO) přes bankovní IAM.</t>
        </is>
      </c>
      <c r="D75" s="17" t="inlineStr">
        <is>
          <t>Bezpečnostní politika Banky</t>
        </is>
      </c>
      <c r="E75" s="16" t="inlineStr">
        <is>
          <t>Must</t>
        </is>
      </c>
      <c r="F75" s="21" t="inlineStr">
        <is>
          <t>Ano</t>
        </is>
      </c>
      <c r="G75" s="17" t="inlineStr">
        <is>
          <t>Přihlášení přes IAM Banky ověřeno v SIT.</t>
        </is>
      </c>
      <c r="H75" s="16" t="inlineStr">
        <is>
          <t>4.2</t>
        </is>
      </c>
      <c r="I75" s="16" t="inlineStr">
        <is>
          <t>K.O. (Pass/Fail)</t>
        </is>
      </c>
      <c r="J75" s="18" t="n"/>
      <c r="K75" s="19" t="n"/>
      <c r="L75" s="18" t="n"/>
      <c r="M75" s="20">
        <f>IF(J75="","",IF(OR(J75="OOTB",J75="Konfigurace",J75="Custom vývoj"),IF(L75="","CHYBÍ odkaz FS","OK"),"N/A"))</f>
        <v/>
      </c>
    </row>
    <row r="76">
      <c r="A76" s="16" t="inlineStr">
        <is>
          <t>SEC-002</t>
        </is>
      </c>
      <c r="B76" s="16" t="inlineStr">
        <is>
          <t>SEC</t>
        </is>
      </c>
      <c r="C76" s="17" t="inlineStr">
        <is>
          <t>Řízení přístupu na základě rolí (RBAC) s granularitou na funkci a datový rozsah (segment, pobočka); report pro pravidelnou recertifikaci oprávnění.</t>
        </is>
      </c>
      <c r="D76" s="17" t="inlineStr">
        <is>
          <t>DORA čl. 9; GDPR čl. 32</t>
        </is>
      </c>
      <c r="E76" s="16" t="inlineStr">
        <is>
          <t>Must</t>
        </is>
      </c>
      <c r="F76" s="16" t="inlineStr">
        <is>
          <t>Ne</t>
        </is>
      </c>
      <c r="G76" s="17" t="inlineStr">
        <is>
          <t>Obchodník vidí pouze své klienty; report oprávnění lze exportovat.</t>
        </is>
      </c>
      <c r="H76" s="16" t="inlineStr">
        <is>
          <t>4.1</t>
        </is>
      </c>
      <c r="I76" s="16" t="inlineStr">
        <is>
          <t>Podklad pro FS (20 %)</t>
        </is>
      </c>
      <c r="J76" s="18" t="n"/>
      <c r="K76" s="19" t="n"/>
      <c r="L76" s="18" t="n"/>
      <c r="M76" s="20">
        <f>IF(J76="","",IF(OR(J76="OOTB",J76="Konfigurace",J76="Custom vývoj"),IF(L76="","CHYBÍ odkaz FS","OK"),"N/A"))</f>
        <v/>
      </c>
    </row>
    <row r="77">
      <c r="A77" s="16" t="inlineStr">
        <is>
          <t>SEC-003</t>
        </is>
      </c>
      <c r="B77" s="16" t="inlineStr">
        <is>
          <t>SEC</t>
        </is>
      </c>
      <c r="C77" s="17" t="inlineStr">
        <is>
          <t>Šifrování dat v klidu (AES-256) a při přenosu (TLS 1.2 a vyšší); šifrovací klíče spravuje Banka (HSM/KMS).</t>
        </is>
      </c>
      <c r="D77" s="17" t="inlineStr">
        <is>
          <t>DORA čl. 9; GDPR čl. 32</t>
        </is>
      </c>
      <c r="E77" s="16" t="inlineStr">
        <is>
          <t>Must</t>
        </is>
      </c>
      <c r="F77" s="16" t="inlineStr">
        <is>
          <t>Ne</t>
        </is>
      </c>
      <c r="G77" s="17" t="inlineStr">
        <is>
          <t>Dodavatel doloží konfiguraci šifrování a správy klíčů.</t>
        </is>
      </c>
      <c r="H77" s="16" t="inlineStr">
        <is>
          <t>4.3</t>
        </is>
      </c>
      <c r="I77" s="16" t="inlineStr">
        <is>
          <t>Podklad pro FS (20 %)</t>
        </is>
      </c>
      <c r="J77" s="18" t="n"/>
      <c r="K77" s="19" t="n"/>
      <c r="L77" s="18" t="n"/>
      <c r="M77" s="20">
        <f>IF(J77="","",IF(OR(J77="OOTB",J77="Konfigurace",J77="Custom vývoj"),IF(L77="","CHYBÍ odkaz FS","OK"),"N/A"))</f>
        <v/>
      </c>
    </row>
    <row r="78">
      <c r="A78" s="16" t="inlineStr">
        <is>
          <t>SEC-004</t>
        </is>
      </c>
      <c r="B78" s="16" t="inlineStr">
        <is>
          <t>SEC</t>
        </is>
      </c>
      <c r="C78" s="17" t="inlineStr">
        <is>
          <t>Auditní a bezpečnostní logy jsou neměnné (append-only) a uchovávané po dobu určenou Bankou.</t>
        </is>
      </c>
      <c r="D78" s="17" t="inlineStr">
        <is>
          <t>DORA čl. 12; § 16 z. č. 253/2008 Sb.</t>
        </is>
      </c>
      <c r="E78" s="16" t="inlineStr">
        <is>
          <t>Must</t>
        </is>
      </c>
      <c r="F78" s="16" t="inlineStr">
        <is>
          <t>Ne</t>
        </is>
      </c>
      <c r="G78" s="17" t="inlineStr">
        <is>
          <t>Pokus o změnu logu je detekován a hlášen do SIEM.</t>
        </is>
      </c>
      <c r="H78" s="16" t="inlineStr">
        <is>
          <t>4.4</t>
        </is>
      </c>
      <c r="I78" s="16" t="inlineStr">
        <is>
          <t>Podklad pro FS (20 %)</t>
        </is>
      </c>
      <c r="J78" s="18" t="n"/>
      <c r="K78" s="19" t="n"/>
      <c r="L78" s="18" t="n"/>
      <c r="M78" s="20">
        <f>IF(J78="","",IF(OR(J78="OOTB",J78="Konfigurace",J78="Custom vývoj"),IF(L78="","CHYBÍ odkaz FS","OK"),"N/A"))</f>
        <v/>
      </c>
    </row>
    <row r="79">
      <c r="A79" s="16" t="inlineStr">
        <is>
          <t>SEC-005</t>
        </is>
      </c>
      <c r="B79" s="16" t="inlineStr">
        <is>
          <t>SEC</t>
        </is>
      </c>
      <c r="C79" s="17" t="inlineStr">
        <is>
          <t>Vícefaktorové ověření a správa privilegovaných účtů přes PAM řešení Banky.</t>
        </is>
      </c>
      <c r="D79" s="17" t="inlineStr">
        <is>
          <t>Bezpečnostní politika Banky</t>
        </is>
      </c>
      <c r="E79" s="16" t="inlineStr">
        <is>
          <t>Must</t>
        </is>
      </c>
      <c r="F79" s="16" t="inlineStr">
        <is>
          <t>Ne</t>
        </is>
      </c>
      <c r="G79" s="17" t="inlineStr">
        <is>
          <t>Administrátorský přístup je možný jen přes PAM.</t>
        </is>
      </c>
      <c r="H79" s="16" t="inlineStr">
        <is>
          <t>4.2</t>
        </is>
      </c>
      <c r="I79" s="16" t="inlineStr">
        <is>
          <t>Podklad pro FS (20 %)</t>
        </is>
      </c>
      <c r="J79" s="18" t="n"/>
      <c r="K79" s="19" t="n"/>
      <c r="L79" s="18" t="n"/>
      <c r="M79" s="20">
        <f>IF(J79="","",IF(OR(J79="OOTB",J79="Konfigurace",J79="Custom vývoj"),IF(L79="","CHYBÍ odkaz FS","OK"),"N/A"))</f>
        <v/>
      </c>
    </row>
    <row r="80">
      <c r="A80" s="16" t="inlineStr">
        <is>
          <t>SEC-006</t>
        </is>
      </c>
      <c r="B80" s="16" t="inlineStr">
        <is>
          <t>SEC</t>
        </is>
      </c>
      <c r="C80" s="17" t="inlineStr">
        <is>
          <t>Dodavatel umožní penetrační testy Banky min. 1× ročně a účast v penetračních testech řízených hrozbami (TLPT).</t>
        </is>
      </c>
      <c r="D80" s="17" t="inlineStr">
        <is>
          <t>DORA čl. 24–26</t>
        </is>
      </c>
      <c r="E80" s="16" t="inlineStr">
        <is>
          <t>Must</t>
        </is>
      </c>
      <c r="F80" s="16" t="inlineStr">
        <is>
          <t>Ne</t>
        </is>
      </c>
      <c r="G80" s="17" t="inlineStr">
        <is>
          <t>Smluvně zakotveno; harmonogram testů v FS.</t>
        </is>
      </c>
      <c r="H80" s="16" t="inlineStr">
        <is>
          <t>4.5</t>
        </is>
      </c>
      <c r="I80" s="16" t="inlineStr">
        <is>
          <t>Podklad pro FS (20 %)</t>
        </is>
      </c>
      <c r="J80" s="18" t="n"/>
      <c r="K80" s="19" t="n"/>
      <c r="L80" s="18" t="n"/>
      <c r="M80" s="20">
        <f>IF(J80="","",IF(OR(J80="OOTB",J80="Konfigurace",J80="Custom vývoj"),IF(L80="","CHYBÍ odkaz FS","OK"),"N/A"))</f>
        <v/>
      </c>
    </row>
    <row r="81">
      <c r="A81" s="16" t="inlineStr">
        <is>
          <t>SEC-007</t>
        </is>
      </c>
      <c r="B81" s="16" t="inlineStr">
        <is>
          <t>SEC</t>
        </is>
      </c>
      <c r="C81" s="17" t="inlineStr">
        <is>
          <t>Oprava zranitelností v dodaném software: kritické (CVSS ≥ 9,0) do 5 pracovních dnů, vysoké (7,0–8,9) do 30 dnů, bez dalších poplatků.</t>
        </is>
      </c>
      <c r="D81" s="17" t="inlineStr">
        <is>
          <t>DORA čl. 9; bezpečnostní politika Banky</t>
        </is>
      </c>
      <c r="E81" s="16" t="inlineStr">
        <is>
          <t>Must</t>
        </is>
      </c>
      <c r="F81" s="16" t="inlineStr">
        <is>
          <t>Ne</t>
        </is>
      </c>
      <c r="G81" s="17" t="inlineStr">
        <is>
          <t>Lhůty jsou součástí SLA (Příloha 4).</t>
        </is>
      </c>
      <c r="H81" s="16" t="inlineStr">
        <is>
          <t>4.5</t>
        </is>
      </c>
      <c r="I81" s="16" t="inlineStr">
        <is>
          <t>Podklad pro FS (20 %)</t>
        </is>
      </c>
      <c r="J81" s="18" t="n"/>
      <c r="K81" s="19" t="n"/>
      <c r="L81" s="18" t="n"/>
      <c r="M81" s="20">
        <f>IF(J81="","",IF(OR(J81="OOTB",J81="Konfigurace",J81="Custom vývoj"),IF(L81="","CHYBÍ odkaz FS","OK"),"N/A"))</f>
        <v/>
      </c>
    </row>
    <row r="82">
      <c r="A82" s="16" t="inlineStr">
        <is>
          <t>SEC-008</t>
        </is>
      </c>
      <c r="B82" s="16" t="inlineStr">
        <is>
          <t>SEC</t>
        </is>
      </c>
      <c r="C82" s="17" t="inlineStr">
        <is>
          <t>Ke každému releasu dodavatel poskytne SBOM (seznam softwarových komponent).</t>
        </is>
      </c>
      <c r="D82" s="17" t="inlineStr">
        <is>
          <t>Řízení rizik dodavatelského řetězce</t>
        </is>
      </c>
      <c r="E82" s="16" t="inlineStr">
        <is>
          <t>Should</t>
        </is>
      </c>
      <c r="F82" s="16" t="inlineStr">
        <is>
          <t>Ne</t>
        </is>
      </c>
      <c r="G82" s="17" t="inlineStr">
        <is>
          <t>SBOM ve formátu CycloneDX nebo SPDX.</t>
        </is>
      </c>
      <c r="H82" s="16" t="inlineStr">
        <is>
          <t>4.5</t>
        </is>
      </c>
      <c r="I82" s="16" t="inlineStr">
        <is>
          <t>Podklad pro FS (20 %)</t>
        </is>
      </c>
      <c r="J82" s="18" t="n"/>
      <c r="K82" s="19" t="n"/>
      <c r="L82" s="18" t="n"/>
      <c r="M82" s="20">
        <f>IF(J82="","",IF(OR(J82="OOTB",J82="Konfigurace",J82="Custom vývoj"),IF(L82="","CHYBÍ odkaz FS","OK"),"N/A"))</f>
        <v/>
      </c>
    </row>
    <row r="83">
      <c r="A83" s="16" t="inlineStr">
        <is>
          <t>SEC-009</t>
        </is>
      </c>
      <c r="B83" s="16" t="inlineStr">
        <is>
          <t>SEC</t>
        </is>
      </c>
      <c r="C83" s="17" t="inlineStr">
        <is>
          <t>Maskování nebo pseudonymizace osobních údajů v neprodukčních prostředích.</t>
        </is>
      </c>
      <c r="D83" s="17" t="inlineStr">
        <is>
          <t>čl. 25 a 32 GDPR</t>
        </is>
      </c>
      <c r="E83" s="16" t="inlineStr">
        <is>
          <t>Must</t>
        </is>
      </c>
      <c r="F83" s="16" t="inlineStr">
        <is>
          <t>Ne</t>
        </is>
      </c>
      <c r="G83" s="17" t="inlineStr">
        <is>
          <t>Na UAT nejsou čitelná skutečná jména klientů.</t>
        </is>
      </c>
      <c r="H83" s="16" t="inlineStr">
        <is>
          <t>4.3</t>
        </is>
      </c>
      <c r="I83" s="16" t="inlineStr">
        <is>
          <t>Podklad pro FS (20 %)</t>
        </is>
      </c>
      <c r="J83" s="18" t="n"/>
      <c r="K83" s="19" t="n"/>
      <c r="L83" s="18" t="n"/>
      <c r="M83" s="20">
        <f>IF(J83="","",IF(OR(J83="OOTB",J83="Konfigurace",J83="Custom vývoj"),IF(L83="","CHYBÍ odkaz FS","OK"),"N/A"))</f>
        <v/>
      </c>
    </row>
    <row r="84">
      <c r="A84" s="16" t="inlineStr">
        <is>
          <t>SEC-010</t>
        </is>
      </c>
      <c r="B84" s="16" t="inlineStr">
        <is>
          <t>SEC</t>
        </is>
      </c>
      <c r="C84" s="17" t="inlineStr">
        <is>
          <t>Dodavatel je držitelem platné certifikace ISO/IEC 27001 nebo zprávy SOC 2 Type II pro organizaci zajišťující vývoj a podporu.</t>
        </is>
      </c>
      <c r="D84" s="17" t="inlineStr">
        <is>
          <t>Řízení rizik dodavatele</t>
        </is>
      </c>
      <c r="E84" s="16" t="inlineStr">
        <is>
          <t>Must</t>
        </is>
      </c>
      <c r="F84" s="21" t="inlineStr">
        <is>
          <t>Ano</t>
        </is>
      </c>
      <c r="G84" s="17" t="inlineStr">
        <is>
          <t>Kopie certifikátu / zprávy ne starší 12 měsíců.</t>
        </is>
      </c>
      <c r="H84" s="16" t="inlineStr">
        <is>
          <t>4.1</t>
        </is>
      </c>
      <c r="I84" s="16" t="inlineStr">
        <is>
          <t>K.O. (Pass/Fail)</t>
        </is>
      </c>
      <c r="J84" s="18" t="n"/>
      <c r="K84" s="19" t="n"/>
      <c r="L84" s="18" t="n"/>
      <c r="M84" s="20">
        <f>IF(J84="","",IF(OR(J84="OOTB",J84="Konfigurace",J84="Custom vývoj"),IF(L84="","CHYBÍ odkaz FS","OK"),"N/A"))</f>
        <v/>
      </c>
    </row>
    <row r="85">
      <c r="A85" s="16" t="inlineStr">
        <is>
          <t>REG-001</t>
        </is>
      </c>
      <c r="B85" s="16" t="inlineStr">
        <is>
          <t>REG</t>
        </is>
      </c>
      <c r="C85" s="17" t="inlineStr">
        <is>
          <t>Dodavatel akceptuje smluvní ujednání dle čl. 30 DORA a poskytne údaje pro registr informací Banky.</t>
        </is>
      </c>
      <c r="D85" s="17" t="inlineStr">
        <is>
          <t>nařízení (EU) 2022/2554 (DORA) čl. 28 a 30</t>
        </is>
      </c>
      <c r="E85" s="16" t="inlineStr">
        <is>
          <t>Must</t>
        </is>
      </c>
      <c r="F85" s="21" t="inlineStr">
        <is>
          <t>Ano</t>
        </is>
      </c>
      <c r="G85" s="17" t="inlineStr">
        <is>
          <t>Bez výhrad k Příloze 5 v části DORA.</t>
        </is>
      </c>
      <c r="H85" s="16" t="inlineStr">
        <is>
          <t>9.1</t>
        </is>
      </c>
      <c r="I85" s="16" t="inlineStr">
        <is>
          <t>K.O. (Pass/Fail)</t>
        </is>
      </c>
      <c r="J85" s="18" t="n"/>
      <c r="K85" s="19" t="n"/>
      <c r="L85" s="18" t="n"/>
      <c r="M85" s="20">
        <f>IF(J85="","",IF(OR(J85="OOTB",J85="Konfigurace",J85="Custom vývoj"),IF(L85="","CHYBÍ odkaz FS","OK"),"N/A"))</f>
        <v/>
      </c>
    </row>
    <row r="86">
      <c r="A86" s="16" t="inlineStr">
        <is>
          <t>REG-002</t>
        </is>
      </c>
      <c r="B86" s="16" t="inlineStr">
        <is>
          <t>REG</t>
        </is>
      </c>
      <c r="C86" s="17" t="inlineStr">
        <is>
          <t>Legislativní údržba je součástí ceny licence/podpory: změny AML zákona, vyhlášek ČNB a požadavky nařízení (EU) 2024/1624 (AMLR) včetně technických norem AMLA.</t>
        </is>
      </c>
      <c r="D86" s="17" t="inlineStr">
        <is>
          <t>nařízení (EU) 2024/1624 – použitelné od 10. 7. 2027</t>
        </is>
      </c>
      <c r="E86" s="16" t="inlineStr">
        <is>
          <t>Must</t>
        </is>
      </c>
      <c r="F86" s="16" t="inlineStr">
        <is>
          <t>Ne</t>
        </is>
      </c>
      <c r="G86" s="17" t="inlineStr">
        <is>
          <t>Dodavatel potvrdí v cenové šabloně (list C), že legislativní údržba není účtována zvlášť.</t>
        </is>
      </c>
      <c r="H86" s="16" t="inlineStr">
        <is>
          <t>9.1</t>
        </is>
      </c>
      <c r="I86" s="16" t="inlineStr">
        <is>
          <t>Podklad pro FS (20 %)</t>
        </is>
      </c>
      <c r="J86" s="18" t="n"/>
      <c r="K86" s="19" t="n"/>
      <c r="L86" s="18" t="n"/>
      <c r="M86" s="20">
        <f>IF(J86="","",IF(OR(J86="OOTB",J86="Konfigurace",J86="Custom vývoj"),IF(L86="","CHYBÍ odkaz FS","OK"),"N/A"))</f>
        <v/>
      </c>
    </row>
    <row r="87">
      <c r="A87" s="16" t="inlineStr">
        <is>
          <t>REG-003</t>
        </is>
      </c>
      <c r="B87" s="16" t="inlineStr">
        <is>
          <t>REG</t>
        </is>
      </c>
      <c r="C87" s="17" t="inlineStr">
        <is>
          <t>Retenční pravidla: uchování 10 let dle AML zákona a následný výmaz nebo anonymizace dle GDPR, s protokolem.</t>
        </is>
      </c>
      <c r="D87" s="17" t="inlineStr">
        <is>
          <t>§ 16 z. č. 253/2008 Sb.; čl. 5 a 17 GDPR</t>
        </is>
      </c>
      <c r="E87" s="16" t="inlineStr">
        <is>
          <t>Must</t>
        </is>
      </c>
      <c r="F87" s="16" t="inlineStr">
        <is>
          <t>Ne</t>
        </is>
      </c>
      <c r="G87" s="17" t="inlineStr">
        <is>
          <t>Výmaz po uplynutí lhůty proběhne automaticky a je zaprotokolován.</t>
        </is>
      </c>
      <c r="H87" s="16" t="inlineStr">
        <is>
          <t>9.2</t>
        </is>
      </c>
      <c r="I87" s="16" t="inlineStr">
        <is>
          <t>Podklad pro FS (20 %)</t>
        </is>
      </c>
      <c r="J87" s="18" t="n"/>
      <c r="K87" s="19" t="n"/>
      <c r="L87" s="18" t="n"/>
      <c r="M87" s="20">
        <f>IF(J87="","",IF(OR(J87="OOTB",J87="Konfigurace",J87="Custom vývoj"),IF(L87="","CHYBÍ odkaz FS","OK"),"N/A"))</f>
        <v/>
      </c>
    </row>
    <row r="88">
      <c r="A88" s="16" t="inlineStr">
        <is>
          <t>REG-004</t>
        </is>
      </c>
      <c r="B88" s="16" t="inlineStr">
        <is>
          <t>REG</t>
        </is>
      </c>
      <c r="C88" s="17" t="inlineStr">
        <is>
          <t>Dodavatel poskytne podklady pro posouzení vlivu na ochranu osobních údajů (DPIA).</t>
        </is>
      </c>
      <c r="D88" s="17" t="inlineStr">
        <is>
          <t>čl. 35 GDPR</t>
        </is>
      </c>
      <c r="E88" s="16" t="inlineStr">
        <is>
          <t>Must</t>
        </is>
      </c>
      <c r="F88" s="16" t="inlineStr">
        <is>
          <t>Ne</t>
        </is>
      </c>
      <c r="G88" s="17" t="inlineStr">
        <is>
          <t>Podklady dodány do 30 dnů od podpisu smlouvy.</t>
        </is>
      </c>
      <c r="H88" s="16" t="inlineStr">
        <is>
          <t>9.1</t>
        </is>
      </c>
      <c r="I88" s="16" t="inlineStr">
        <is>
          <t>Podklad pro FS (20 %)</t>
        </is>
      </c>
      <c r="J88" s="18" t="n"/>
      <c r="K88" s="19" t="n"/>
      <c r="L88" s="18" t="n"/>
      <c r="M88" s="20">
        <f>IF(J88="","",IF(OR(J88="OOTB",J88="Konfigurace",J88="Custom vývoj"),IF(L88="","CHYBÍ odkaz FS","OK"),"N/A"))</f>
        <v/>
      </c>
    </row>
    <row r="89">
      <c r="A89" s="16" t="inlineStr">
        <is>
          <t>REG-005</t>
        </is>
      </c>
      <c r="B89" s="16" t="inlineStr">
        <is>
          <t>REG</t>
        </is>
      </c>
      <c r="C89" s="17" t="inlineStr">
        <is>
          <t>Roadmapa produktu pro požadavky AMLR a AMLA (např. jednotná pravidla CDD, údaje o skutečných majitelích, uchovávání údajů).</t>
        </is>
      </c>
      <c r="D89" s="17" t="inlineStr">
        <is>
          <t>nařízení (EU) 2024/1624 a 2024/1620</t>
        </is>
      </c>
      <c r="E89" s="16" t="inlineStr">
        <is>
          <t>Should</t>
        </is>
      </c>
      <c r="F89" s="16" t="inlineStr">
        <is>
          <t>Ne</t>
        </is>
      </c>
      <c r="G89" s="17" t="inlineStr">
        <is>
          <t>Roadmapa s termíny je součástí FS.</t>
        </is>
      </c>
      <c r="H89" s="16" t="inlineStr">
        <is>
          <t>9.1</t>
        </is>
      </c>
      <c r="I89" s="16" t="inlineStr">
        <is>
          <t>Podklad pro FS (20 %)</t>
        </is>
      </c>
      <c r="J89" s="18" t="n"/>
      <c r="K89" s="19" t="n"/>
      <c r="L89" s="18" t="n"/>
      <c r="M89" s="20">
        <f>IF(J89="","",IF(OR(J89="OOTB",J89="Konfigurace",J89="Custom vývoj"),IF(L89="","CHYBÍ odkaz FS","OK"),"N/A"))</f>
        <v/>
      </c>
    </row>
    <row r="90">
      <c r="A90" s="16" t="inlineStr">
        <is>
          <t>REG-006</t>
        </is>
      </c>
      <c r="B90" s="16" t="inlineStr">
        <is>
          <t>REG</t>
        </is>
      </c>
      <c r="C90" s="17" t="inlineStr">
        <is>
          <t>Dokumentace modelů strojového učení (účel, data, metriky, řízení změn) pro potřeby validace a dozoru.</t>
        </is>
      </c>
      <c r="D90" s="17" t="inlineStr">
        <is>
          <t>nařízení (EU) 2024/1689 (AI Act); řízení modelového rizika</t>
        </is>
      </c>
      <c r="E90" s="16" t="inlineStr">
        <is>
          <t>Could</t>
        </is>
      </c>
      <c r="F90" s="16" t="inlineStr">
        <is>
          <t>Ne</t>
        </is>
      </c>
      <c r="G90" s="17" t="inlineStr">
        <is>
          <t>Dokumentace je dostupná ke každé verzi modelu.</t>
        </is>
      </c>
      <c r="H90" s="16" t="inlineStr">
        <is>
          <t>9.1</t>
        </is>
      </c>
      <c r="I90" s="16" t="inlineStr">
        <is>
          <t>Podklad pro FS (20 %)</t>
        </is>
      </c>
      <c r="J90" s="18" t="n"/>
      <c r="K90" s="19" t="n"/>
      <c r="L90" s="18" t="n"/>
      <c r="M90" s="20">
        <f>IF(J90="","",IF(OR(J90="OOTB",J90="Konfigurace",J90="Custom vývoj"),IF(L90="","CHYBÍ odkaz FS","OK"),"N/A"))</f>
        <v/>
      </c>
    </row>
    <row r="91">
      <c r="A91" s="16" t="inlineStr">
        <is>
          <t>LEG-001</t>
        </is>
      </c>
      <c r="B91" s="16" t="inlineStr">
        <is>
          <t>LEG</t>
        </is>
      </c>
      <c r="C91" s="17" t="inlineStr">
        <is>
          <t>Osobní údaje jsou zpracovávány výhradně v EU/EHP; jakýkoli přístup z třetích zemí (včetně vzdálené podpory) jen s předchozím písemným souhlasem Banky.</t>
        </is>
      </c>
      <c r="D91" s="17" t="inlineStr">
        <is>
          <t>kap. V GDPR; z. č. 110/2019 Sb.</t>
        </is>
      </c>
      <c r="E91" s="16" t="inlineStr">
        <is>
          <t>Must</t>
        </is>
      </c>
      <c r="F91" s="21" t="inlineStr">
        <is>
          <t>Ano</t>
        </is>
      </c>
      <c r="G91" s="17" t="inlineStr">
        <is>
          <t>Dodavatel uvede všechna místa zpracování a podpory.</t>
        </is>
      </c>
      <c r="H91" s="16" t="inlineStr">
        <is>
          <t>9.1</t>
        </is>
      </c>
      <c r="I91" s="16" t="inlineStr">
        <is>
          <t>K.O. (Pass/Fail)</t>
        </is>
      </c>
      <c r="J91" s="18" t="n"/>
      <c r="K91" s="19" t="n"/>
      <c r="L91" s="18" t="n"/>
      <c r="M91" s="20">
        <f>IF(J91="","",IF(OR(J91="OOTB",J91="Konfigurace",J91="Custom vývoj"),IF(L91="","CHYBÍ odkaz FS","OK"),"N/A"))</f>
        <v/>
      </c>
    </row>
    <row r="92">
      <c r="A92" s="16" t="inlineStr">
        <is>
          <t>LEG-002</t>
        </is>
      </c>
      <c r="B92" s="16" t="inlineStr">
        <is>
          <t>LEG</t>
        </is>
      </c>
      <c r="C92" s="17" t="inlineStr">
        <is>
          <t>Uzavření smlouvy o zpracování osobních údajů dle čl. 28 GDPR na vzoru Banky.</t>
        </is>
      </c>
      <c r="D92" s="17" t="inlineStr">
        <is>
          <t>čl. 28 GDPR</t>
        </is>
      </c>
      <c r="E92" s="16" t="inlineStr">
        <is>
          <t>Must</t>
        </is>
      </c>
      <c r="F92" s="21" t="inlineStr">
        <is>
          <t>Ano</t>
        </is>
      </c>
      <c r="G92" s="17" t="inlineStr">
        <is>
          <t>Bez výhrad nebo s výhradami vyřešenými v jednání.</t>
        </is>
      </c>
      <c r="H92" s="16" t="inlineStr">
        <is>
          <t>9.1</t>
        </is>
      </c>
      <c r="I92" s="16" t="inlineStr">
        <is>
          <t>K.O. (Pass/Fail)</t>
        </is>
      </c>
      <c r="J92" s="18" t="n"/>
      <c r="K92" s="19" t="n"/>
      <c r="L92" s="18" t="n"/>
      <c r="M92" s="20">
        <f>IF(J92="","",IF(OR(J92="OOTB",J92="Konfigurace",J92="Custom vývoj"),IF(L92="","CHYBÍ odkaz FS","OK"),"N/A"))</f>
        <v/>
      </c>
    </row>
    <row r="93">
      <c r="A93" s="16" t="inlineStr">
        <is>
          <t>LEG-003</t>
        </is>
      </c>
      <c r="B93" s="16" t="inlineStr">
        <is>
          <t>LEG</t>
        </is>
      </c>
      <c r="C93" s="17" t="inlineStr">
        <is>
          <t>Mlčenlivost o skutečnostech podléhajících bankovnímu tajemství pro pracovníky dodavatele i subdodavatelů.</t>
        </is>
      </c>
      <c r="D93" s="17" t="inlineStr">
        <is>
          <t>§ 38 z. č. 21/1992 Sb., o bankách</t>
        </is>
      </c>
      <c r="E93" s="16" t="inlineStr">
        <is>
          <t>Must</t>
        </is>
      </c>
      <c r="F93" s="16" t="inlineStr">
        <is>
          <t>Ne</t>
        </is>
      </c>
      <c r="G93" s="17" t="inlineStr">
        <is>
          <t>Individuální závazky mlčenlivosti před udělením přístupu.</t>
        </is>
      </c>
      <c r="H93" s="16" t="inlineStr">
        <is>
          <t>9.1</t>
        </is>
      </c>
      <c r="I93" s="16" t="inlineStr">
        <is>
          <t>Smluvní podmínka</t>
        </is>
      </c>
      <c r="J93" s="18" t="n"/>
      <c r="K93" s="19" t="n"/>
      <c r="L93" s="18" t="n"/>
      <c r="M93" s="20">
        <f>IF(J93="","",IF(OR(J93="OOTB",J93="Konfigurace",J93="Custom vývoj"),IF(L93="","CHYBÍ odkaz FS","OK"),"N/A"))</f>
        <v/>
      </c>
    </row>
    <row r="94">
      <c r="A94" s="16" t="inlineStr">
        <is>
          <t>LEG-004</t>
        </is>
      </c>
      <c r="B94" s="16" t="inlineStr">
        <is>
          <t>LEG</t>
        </is>
      </c>
      <c r="C94" s="17" t="inlineStr">
        <is>
          <t>Neomezené právo auditu, přístupu a inspekce pro Banku, ČNB a další orgány dohledu, včetně subdodavatelů.</t>
        </is>
      </c>
      <c r="D94" s="17" t="inlineStr">
        <is>
          <t>DORA čl. 30 odst. 3 písm. e); EBA/GL/2019/02</t>
        </is>
      </c>
      <c r="E94" s="16" t="inlineStr">
        <is>
          <t>Must</t>
        </is>
      </c>
      <c r="F94" s="16" t="inlineStr">
        <is>
          <t>Ne</t>
        </is>
      </c>
      <c r="G94" s="17" t="inlineStr">
        <is>
          <t>Smluvně zakotveno bez omezení četnosti pro orgány dohledu.</t>
        </is>
      </c>
      <c r="H94" s="16" t="inlineStr">
        <is>
          <t>9.1</t>
        </is>
      </c>
      <c r="I94" s="16" t="inlineStr">
        <is>
          <t>Smluvní podmínka</t>
        </is>
      </c>
      <c r="J94" s="18" t="n"/>
      <c r="K94" s="19" t="n"/>
      <c r="L94" s="18" t="n"/>
      <c r="M94" s="20">
        <f>IF(J94="","",IF(OR(J94="OOTB",J94="Konfigurace",J94="Custom vývoj"),IF(L94="","CHYBÍ odkaz FS","OK"),"N/A"))</f>
        <v/>
      </c>
    </row>
    <row r="95">
      <c r="A95" s="16" t="inlineStr">
        <is>
          <t>LEG-005</t>
        </is>
      </c>
      <c r="B95" s="16" t="inlineStr">
        <is>
          <t>LEG</t>
        </is>
      </c>
      <c r="C95" s="17" t="inlineStr">
        <is>
          <t>Seznam subdodavatelů v nabídce; změna subdodavatele podílejícího se na kritické funkci jen s předchozím souhlasem Banky.</t>
        </is>
      </c>
      <c r="D95" s="17" t="inlineStr">
        <is>
          <t>DORA čl. 29 a 30; nařízení v přenesené pravomoci (EU) 2025/532</t>
        </is>
      </c>
      <c r="E95" s="16" t="inlineStr">
        <is>
          <t>Must</t>
        </is>
      </c>
      <c r="F95" s="16" t="inlineStr">
        <is>
          <t>Ne</t>
        </is>
      </c>
      <c r="G95" s="17" t="inlineStr">
        <is>
          <t>Seznam subdodavatelů s lokalitou a rozsahem činnosti.</t>
        </is>
      </c>
      <c r="H95" s="16" t="inlineStr">
        <is>
          <t>9.1</t>
        </is>
      </c>
      <c r="I95" s="16" t="inlineStr">
        <is>
          <t>Smluvní podmínka</t>
        </is>
      </c>
      <c r="J95" s="18" t="n"/>
      <c r="K95" s="19" t="n"/>
      <c r="L95" s="18" t="n"/>
      <c r="M95" s="20">
        <f>IF(J95="","",IF(OR(J95="OOTB",J95="Konfigurace",J95="Custom vývoj"),IF(L95="","CHYBÍ odkaz FS","OK"),"N/A"))</f>
        <v/>
      </c>
    </row>
    <row r="96">
      <c r="A96" s="16" t="inlineStr">
        <is>
          <t>LEG-006</t>
        </is>
      </c>
      <c r="B96" s="16" t="inlineStr">
        <is>
          <t>LEG</t>
        </is>
      </c>
      <c r="C96" s="17" t="inlineStr">
        <is>
          <t>Exitová součinnost min. 12 měsíců, export všech dat v otevřeném strojově čitelném formátu a přechodné období provozu; ocenění v cenové šabloně.</t>
        </is>
      </c>
      <c r="D96" s="17" t="inlineStr">
        <is>
          <t>DORA čl. 28 odst. 8; EBA/GL/2019/02</t>
        </is>
      </c>
      <c r="E96" s="16" t="inlineStr">
        <is>
          <t>Must</t>
        </is>
      </c>
      <c r="F96" s="16" t="inlineStr">
        <is>
          <t>Ne</t>
        </is>
      </c>
      <c r="G96" s="17" t="inlineStr">
        <is>
          <t>Exitový plán je součástí FS (kap. 10).</t>
        </is>
      </c>
      <c r="H96" s="16" t="inlineStr">
        <is>
          <t>10</t>
        </is>
      </c>
      <c r="I96" s="16" t="inlineStr">
        <is>
          <t>Smluvní podmínka</t>
        </is>
      </c>
      <c r="J96" s="18" t="n"/>
      <c r="K96" s="19" t="n"/>
      <c r="L96" s="18" t="n"/>
      <c r="M96" s="20">
        <f>IF(J96="","",IF(OR(J96="OOTB",J96="Konfigurace",J96="Custom vývoj"),IF(L96="","CHYBÍ odkaz FS","OK"),"N/A"))</f>
        <v/>
      </c>
    </row>
    <row r="97">
      <c r="A97" s="16" t="inlineStr">
        <is>
          <t>LEG-007</t>
        </is>
      </c>
      <c r="B97" s="16" t="inlineStr">
        <is>
          <t>LEG</t>
        </is>
      </c>
      <c r="C97" s="17" t="inlineStr">
        <is>
          <t>Úschova zdrojového kódu (escrow) nebo jiná záruka kontinuity při insolvenci či ukončení produktu.</t>
        </is>
      </c>
      <c r="D97" s="17" t="inlineStr">
        <is>
          <t>Řízení rizik dodavatele</t>
        </is>
      </c>
      <c r="E97" s="16" t="inlineStr">
        <is>
          <t>Should</t>
        </is>
      </c>
      <c r="F97" s="16" t="inlineStr">
        <is>
          <t>Ne</t>
        </is>
      </c>
      <c r="G97" s="17" t="inlineStr">
        <is>
          <t>Návrh escrow ujednání.</t>
        </is>
      </c>
      <c r="H97" s="16" t="inlineStr">
        <is>
          <t>10</t>
        </is>
      </c>
      <c r="I97" s="16" t="inlineStr">
        <is>
          <t>Smluvní podmínka</t>
        </is>
      </c>
      <c r="J97" s="18" t="n"/>
      <c r="K97" s="19" t="n"/>
      <c r="L97" s="18" t="n"/>
      <c r="M97" s="20">
        <f>IF(J97="","",IF(OR(J97="OOTB",J97="Konfigurace",J97="Custom vývoj"),IF(L97="","CHYBÍ odkaz FS","OK"),"N/A"))</f>
        <v/>
      </c>
    </row>
    <row r="98">
      <c r="A98" s="16" t="inlineStr">
        <is>
          <t>LEG-008</t>
        </is>
      </c>
      <c r="B98" s="16" t="inlineStr">
        <is>
          <t>LEG</t>
        </is>
      </c>
      <c r="C98" s="17" t="inlineStr">
        <is>
          <t>Limit odpovědnosti za škodu min. ve výši 200 % ročních plateb; bez limitu u porušení mlčenlivosti, ochrany osobních údajů a úmyslu.</t>
        </is>
      </c>
      <c r="D98" s="17" t="inlineStr">
        <is>
          <t>Standard smluv Banky</t>
        </is>
      </c>
      <c r="E98" s="16" t="inlineStr">
        <is>
          <t>Should</t>
        </is>
      </c>
      <c r="F98" s="16" t="inlineStr">
        <is>
          <t>Ne</t>
        </is>
      </c>
      <c r="G98" s="17" t="inlineStr">
        <is>
          <t>Výhrady budou předmětem jednání.</t>
        </is>
      </c>
      <c r="H98" s="16" t="inlineStr">
        <is>
          <t>9.1</t>
        </is>
      </c>
      <c r="I98" s="16" t="inlineStr">
        <is>
          <t>Smluvní podmínka</t>
        </is>
      </c>
      <c r="J98" s="18" t="n"/>
      <c r="K98" s="19" t="n"/>
      <c r="L98" s="18" t="n"/>
      <c r="M98" s="20">
        <f>IF(J98="","",IF(OR(J98="OOTB",J98="Konfigurace",J98="Custom vývoj"),IF(L98="","CHYBÍ odkaz FS","OK"),"N/A"))</f>
        <v/>
      </c>
    </row>
    <row r="99">
      <c r="A99" s="16" t="inlineStr">
        <is>
          <t>LEG-009</t>
        </is>
      </c>
      <c r="B99" s="16" t="inlineStr">
        <is>
          <t>LEG</t>
        </is>
      </c>
      <c r="C99" s="17" t="inlineStr">
        <is>
          <t>Smlouva se řídí českým právem; spory řeší obecné soudy ČR.</t>
        </is>
      </c>
      <c r="D99" s="17" t="inlineStr">
        <is>
          <t>Standard smluv Banky</t>
        </is>
      </c>
      <c r="E99" s="16" t="inlineStr">
        <is>
          <t>Must</t>
        </is>
      </c>
      <c r="F99" s="16" t="inlineStr">
        <is>
          <t>Ne</t>
        </is>
      </c>
      <c r="G99" s="17" t="inlineStr">
        <is>
          <t>Bez výhrad.</t>
        </is>
      </c>
      <c r="H99" s="16" t="inlineStr">
        <is>
          <t>9.1</t>
        </is>
      </c>
      <c r="I99" s="16" t="inlineStr">
        <is>
          <t>Smluvní podmínka</t>
        </is>
      </c>
      <c r="J99" s="18" t="n"/>
      <c r="K99" s="19" t="n"/>
      <c r="L99" s="18" t="n"/>
      <c r="M99" s="20">
        <f>IF(J99="","",IF(OR(J99="OOTB",J99="Konfigurace",J99="Custom vývoj"),IF(L99="","CHYBÍ odkaz FS","OK"),"N/A"))</f>
        <v/>
      </c>
    </row>
    <row r="100">
      <c r="A100" s="16" t="inlineStr">
        <is>
          <t>LEG-010</t>
        </is>
      </c>
      <c r="B100" s="16" t="inlineStr">
        <is>
          <t>LEG</t>
        </is>
      </c>
      <c r="C100" s="17" t="inlineStr">
        <is>
          <t>Pojištění odpovědnosti dodavatele s limitem plnění min. 50 mil. Kč po celou dobu trvání smlouvy.</t>
        </is>
      </c>
      <c r="D100" s="17" t="inlineStr">
        <is>
          <t>Standard smluv Banky</t>
        </is>
      </c>
      <c r="E100" s="16" t="inlineStr">
        <is>
          <t>Should</t>
        </is>
      </c>
      <c r="F100" s="16" t="inlineStr">
        <is>
          <t>Ne</t>
        </is>
      </c>
      <c r="G100" s="17" t="inlineStr">
        <is>
          <t>Pojistný certifikát v nabídce.</t>
        </is>
      </c>
      <c r="H100" s="16" t="inlineStr">
        <is>
          <t>12</t>
        </is>
      </c>
      <c r="I100" s="16" t="inlineStr">
        <is>
          <t>Smluvní podmínka</t>
        </is>
      </c>
      <c r="J100" s="18" t="n"/>
      <c r="K100" s="19" t="n"/>
      <c r="L100" s="18" t="n"/>
      <c r="M100" s="20">
        <f>IF(J100="","",IF(OR(J100="OOTB",J100="Konfigurace",J100="Custom vývoj"),IF(L100="","CHYBÍ odkaz FS","OK"),"N/A"))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761"/>
  <autoFilter ref="A5:M100"/>
  <conditionalFormatting sqref="M6:M100">
    <cfRule type="cellIs" priority="1" operator="equal" dxfId="0">
      <formula>"CHYBÍ odkaz FS"</formula>
    </cfRule>
    <cfRule type="cellIs" priority="2" operator="equal" dxfId="1">
      <formula>"OK"</formula>
    </cfRule>
  </conditionalFormatting>
  <dataValidations count="95">
    <dataValidation sqref="J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1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2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3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4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5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6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7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5" showDropDown="0" showInputMessage="0" showErrorMessage="0" allowBlank="1" errorTitle="Neplatná hodnota" error="Vyberte hodnotu ze seznamu." type="list">
      <formula1>"Akceptuje,Akceptuje s výhradou,Neakceptuje"</formula1>
    </dataValidation>
    <dataValidation sqref="J8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8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9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J91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2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3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4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5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6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7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8" showDropDown="0" showInputMessage="0" showErrorMessage="0" allowBlank="1" errorTitle="Neplatná hodnota" error="Vyberte hodnotu ze seznamu." type="list">
      <formula1>"Akceptuje,Akceptuje s výhradou,Neakceptuje"</formula1>
    </dataValidation>
    <dataValidation sqref="J99" showDropDown="0" showInputMessage="0" showErrorMessage="0" allowBlank="1" errorTitle="Neplatná hodnota" error="Vyberte hodnotu ze seznamu." type="list">
      <formula1>"Akceptuje,Akceptuje s výhradou,Neakceptuje"</formula1>
    </dataValidation>
    <dataValidation sqref="J100" showDropDown="0" showInputMessage="0" showErrorMessage="0" allowBlank="1" errorTitle="Neplatná hodnota" error="Vyberte hodnotu ze seznamu." type="list">
      <formula1>"Akceptuje,Akceptuje s výhradou,Neakceptuje"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Souhrn matice shody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3" t="inlineStr">
        <is>
          <t>Oblast</t>
        </is>
      </c>
      <c r="B5" s="13" t="inlineStr">
        <is>
          <t>Název oblasti</t>
        </is>
      </c>
      <c r="C5" s="13" t="inlineStr">
        <is>
          <t>Počet požadavků</t>
        </is>
      </c>
      <c r="D5" s="13" t="inlineStr">
        <is>
          <t>Must</t>
        </is>
      </c>
      <c r="E5" s="13" t="inlineStr">
        <is>
          <t>Should</t>
        </is>
      </c>
      <c r="F5" s="13" t="inlineStr">
        <is>
          <t>Could</t>
        </is>
      </c>
      <c r="G5" s="13" t="inlineStr">
        <is>
          <t>K.O.</t>
        </is>
      </c>
      <c r="H5" s="13" t="inlineStr">
        <is>
          <t>Vyplněno dodavatelem</t>
        </is>
      </c>
      <c r="I5" s="13" t="inlineStr">
        <is>
          <t>Custom vývoj</t>
        </is>
      </c>
      <c r="J5" s="13" t="inlineStr">
        <is>
          <t>Nesplněno / 3rd party</t>
        </is>
      </c>
      <c r="K5" s="13" t="inlineStr">
        <is>
          <t>Chybí odkaz FS</t>
        </is>
      </c>
    </row>
    <row r="6">
      <c r="A6" s="22" t="inlineStr">
        <is>
          <t>KYC</t>
        </is>
      </c>
      <c r="B6" s="22" t="inlineStr">
        <is>
          <t>Onboarding a kontrola klienta (KYC/CDD)</t>
        </is>
      </c>
      <c r="C6" s="22">
        <f>COUNTIF('Požadavky'!$B$6:$B$100,A6)</f>
        <v/>
      </c>
      <c r="D6" s="22">
        <f>COUNTIFS('Požadavky'!$B$6:$B$100,A6,'Požadavky'!$E$6:$E$100,"Must")</f>
        <v/>
      </c>
      <c r="E6" s="22">
        <f>COUNTIFS('Požadavky'!$B$6:$B$100,A6,'Požadavky'!$E$6:$E$100,"Should")</f>
        <v/>
      </c>
      <c r="F6" s="22">
        <f>COUNTIFS('Požadavky'!$B$6:$B$100,A6,'Požadavky'!$E$6:$E$100,"Could")</f>
        <v/>
      </c>
      <c r="G6" s="22">
        <f>COUNTIFS('Požadavky'!$B$6:$B$100,A6,'Požadavky'!$F$6:$F$100,"Ano")</f>
        <v/>
      </c>
      <c r="H6" s="22">
        <f>COUNTIFS('Požadavky'!$B$6:$B$100,A6,'Požadavky'!$J$6:$J$100,"&lt;&gt;")</f>
        <v/>
      </c>
      <c r="I6" s="22">
        <f>COUNTIFS('Požadavky'!$B$6:$B$100,A6,'Požadavky'!$J$6:$J$100,"Custom vývoj")</f>
        <v/>
      </c>
      <c r="J6" s="22">
        <f>COUNTIFS('Požadavky'!$B$6:$B$100,A6,'Požadavky'!$J$6:$J$100,"Nesplněno")+COUNTIFS('Požadavky'!$B$6:$B$100,A6,'Požadavky'!$J$6:$J$100,"3rd party")</f>
        <v/>
      </c>
      <c r="K6" s="22">
        <f>COUNTIFS('Požadavky'!$B$6:$B$100,A6,'Požadavky'!$M$6:$M$100,"CHYBÍ odkaz FS")</f>
        <v/>
      </c>
    </row>
    <row r="7">
      <c r="A7" s="22" t="inlineStr">
        <is>
          <t>SCR</t>
        </is>
      </c>
      <c r="B7" s="22" t="inlineStr">
        <is>
          <t>Screening (sankce, PEP, adverse media)</t>
        </is>
      </c>
      <c r="C7" s="22">
        <f>COUNTIF('Požadavky'!$B$6:$B$100,A7)</f>
        <v/>
      </c>
      <c r="D7" s="22">
        <f>COUNTIFS('Požadavky'!$B$6:$B$100,A7,'Požadavky'!$E$6:$E$100,"Must")</f>
        <v/>
      </c>
      <c r="E7" s="22">
        <f>COUNTIFS('Požadavky'!$B$6:$B$100,A7,'Požadavky'!$E$6:$E$100,"Should")</f>
        <v/>
      </c>
      <c r="F7" s="22">
        <f>COUNTIFS('Požadavky'!$B$6:$B$100,A7,'Požadavky'!$E$6:$E$100,"Could")</f>
        <v/>
      </c>
      <c r="G7" s="22">
        <f>COUNTIFS('Požadavky'!$B$6:$B$100,A7,'Požadavky'!$F$6:$F$100,"Ano")</f>
        <v/>
      </c>
      <c r="H7" s="22">
        <f>COUNTIFS('Požadavky'!$B$6:$B$100,A7,'Požadavky'!$J$6:$J$100,"&lt;&gt;")</f>
        <v/>
      </c>
      <c r="I7" s="22">
        <f>COUNTIFS('Požadavky'!$B$6:$B$100,A7,'Požadavky'!$J$6:$J$100,"Custom vývoj")</f>
        <v/>
      </c>
      <c r="J7" s="22">
        <f>COUNTIFS('Požadavky'!$B$6:$B$100,A7,'Požadavky'!$J$6:$J$100,"Nesplněno")+COUNTIFS('Požadavky'!$B$6:$B$100,A7,'Požadavky'!$J$6:$J$100,"3rd party")</f>
        <v/>
      </c>
      <c r="K7" s="22">
        <f>COUNTIFS('Požadavky'!$B$6:$B$100,A7,'Požadavky'!$M$6:$M$100,"CHYBÍ odkaz FS")</f>
        <v/>
      </c>
    </row>
    <row r="8">
      <c r="A8" s="22" t="inlineStr">
        <is>
          <t>TM</t>
        </is>
      </c>
      <c r="B8" s="22" t="inlineStr">
        <is>
          <t>Monitoring transakcí</t>
        </is>
      </c>
      <c r="C8" s="22">
        <f>COUNTIF('Požadavky'!$B$6:$B$100,A8)</f>
        <v/>
      </c>
      <c r="D8" s="22">
        <f>COUNTIFS('Požadavky'!$B$6:$B$100,A8,'Požadavky'!$E$6:$E$100,"Must")</f>
        <v/>
      </c>
      <c r="E8" s="22">
        <f>COUNTIFS('Požadavky'!$B$6:$B$100,A8,'Požadavky'!$E$6:$E$100,"Should")</f>
        <v/>
      </c>
      <c r="F8" s="22">
        <f>COUNTIFS('Požadavky'!$B$6:$B$100,A8,'Požadavky'!$E$6:$E$100,"Could")</f>
        <v/>
      </c>
      <c r="G8" s="22">
        <f>COUNTIFS('Požadavky'!$B$6:$B$100,A8,'Požadavky'!$F$6:$F$100,"Ano")</f>
        <v/>
      </c>
      <c r="H8" s="22">
        <f>COUNTIFS('Požadavky'!$B$6:$B$100,A8,'Požadavky'!$J$6:$J$100,"&lt;&gt;")</f>
        <v/>
      </c>
      <c r="I8" s="22">
        <f>COUNTIFS('Požadavky'!$B$6:$B$100,A8,'Požadavky'!$J$6:$J$100,"Custom vývoj")</f>
        <v/>
      </c>
      <c r="J8" s="22">
        <f>COUNTIFS('Požadavky'!$B$6:$B$100,A8,'Požadavky'!$J$6:$J$100,"Nesplněno")+COUNTIFS('Požadavky'!$B$6:$B$100,A8,'Požadavky'!$J$6:$J$100,"3rd party")</f>
        <v/>
      </c>
      <c r="K8" s="22">
        <f>COUNTIFS('Požadavky'!$B$6:$B$100,A8,'Požadavky'!$M$6:$M$100,"CHYBÍ odkaz FS")</f>
        <v/>
      </c>
    </row>
    <row r="9">
      <c r="A9" s="22" t="inlineStr">
        <is>
          <t>CAS</t>
        </is>
      </c>
      <c r="B9" s="22" t="inlineStr">
        <is>
          <t>Správa případů a rozhodování</t>
        </is>
      </c>
      <c r="C9" s="22">
        <f>COUNTIF('Požadavky'!$B$6:$B$100,A9)</f>
        <v/>
      </c>
      <c r="D9" s="22">
        <f>COUNTIFS('Požadavky'!$B$6:$B$100,A9,'Požadavky'!$E$6:$E$100,"Must")</f>
        <v/>
      </c>
      <c r="E9" s="22">
        <f>COUNTIFS('Požadavky'!$B$6:$B$100,A9,'Požadavky'!$E$6:$E$100,"Should")</f>
        <v/>
      </c>
      <c r="F9" s="22">
        <f>COUNTIFS('Požadavky'!$B$6:$B$100,A9,'Požadavky'!$E$6:$E$100,"Could")</f>
        <v/>
      </c>
      <c r="G9" s="22">
        <f>COUNTIFS('Požadavky'!$B$6:$B$100,A9,'Požadavky'!$F$6:$F$100,"Ano")</f>
        <v/>
      </c>
      <c r="H9" s="22">
        <f>COUNTIFS('Požadavky'!$B$6:$B$100,A9,'Požadavky'!$J$6:$J$100,"&lt;&gt;")</f>
        <v/>
      </c>
      <c r="I9" s="22">
        <f>COUNTIFS('Požadavky'!$B$6:$B$100,A9,'Požadavky'!$J$6:$J$100,"Custom vývoj")</f>
        <v/>
      </c>
      <c r="J9" s="22">
        <f>COUNTIFS('Požadavky'!$B$6:$B$100,A9,'Požadavky'!$J$6:$J$100,"Nesplněno")+COUNTIFS('Požadavky'!$B$6:$B$100,A9,'Požadavky'!$J$6:$J$100,"3rd party")</f>
        <v/>
      </c>
      <c r="K9" s="22">
        <f>COUNTIFS('Požadavky'!$B$6:$B$100,A9,'Požadavky'!$M$6:$M$100,"CHYBÍ odkaz FS")</f>
        <v/>
      </c>
    </row>
    <row r="10">
      <c r="A10" s="22" t="inlineStr">
        <is>
          <t>REP</t>
        </is>
      </c>
      <c r="B10" s="22" t="inlineStr">
        <is>
          <t>Reporting a součinnost s FAÚ</t>
        </is>
      </c>
      <c r="C10" s="22">
        <f>COUNTIF('Požadavky'!$B$6:$B$100,A10)</f>
        <v/>
      </c>
      <c r="D10" s="22">
        <f>COUNTIFS('Požadavky'!$B$6:$B$100,A10,'Požadavky'!$E$6:$E$100,"Must")</f>
        <v/>
      </c>
      <c r="E10" s="22">
        <f>COUNTIFS('Požadavky'!$B$6:$B$100,A10,'Požadavky'!$E$6:$E$100,"Should")</f>
        <v/>
      </c>
      <c r="F10" s="22">
        <f>COUNTIFS('Požadavky'!$B$6:$B$100,A10,'Požadavky'!$E$6:$E$100,"Could")</f>
        <v/>
      </c>
      <c r="G10" s="22">
        <f>COUNTIFS('Požadavky'!$B$6:$B$100,A10,'Požadavky'!$F$6:$F$100,"Ano")</f>
        <v/>
      </c>
      <c r="H10" s="22">
        <f>COUNTIFS('Požadavky'!$B$6:$B$100,A10,'Požadavky'!$J$6:$J$100,"&lt;&gt;")</f>
        <v/>
      </c>
      <c r="I10" s="22">
        <f>COUNTIFS('Požadavky'!$B$6:$B$100,A10,'Požadavky'!$J$6:$J$100,"Custom vývoj")</f>
        <v/>
      </c>
      <c r="J10" s="22">
        <f>COUNTIFS('Požadavky'!$B$6:$B$100,A10,'Požadavky'!$J$6:$J$100,"Nesplněno")+COUNTIFS('Požadavky'!$B$6:$B$100,A10,'Požadavky'!$J$6:$J$100,"3rd party")</f>
        <v/>
      </c>
      <c r="K10" s="22">
        <f>COUNTIFS('Požadavky'!$B$6:$B$100,A10,'Požadavky'!$M$6:$M$100,"CHYBÍ odkaz FS")</f>
        <v/>
      </c>
    </row>
    <row r="11">
      <c r="A11" s="22" t="inlineStr">
        <is>
          <t>INT</t>
        </is>
      </c>
      <c r="B11" s="22" t="inlineStr">
        <is>
          <t>Integrace</t>
        </is>
      </c>
      <c r="C11" s="22">
        <f>COUNTIF('Požadavky'!$B$6:$B$100,A11)</f>
        <v/>
      </c>
      <c r="D11" s="22">
        <f>COUNTIFS('Požadavky'!$B$6:$B$100,A11,'Požadavky'!$E$6:$E$100,"Must")</f>
        <v/>
      </c>
      <c r="E11" s="22">
        <f>COUNTIFS('Požadavky'!$B$6:$B$100,A11,'Požadavky'!$E$6:$E$100,"Should")</f>
        <v/>
      </c>
      <c r="F11" s="22">
        <f>COUNTIFS('Požadavky'!$B$6:$B$100,A11,'Požadavky'!$E$6:$E$100,"Could")</f>
        <v/>
      </c>
      <c r="G11" s="22">
        <f>COUNTIFS('Požadavky'!$B$6:$B$100,A11,'Požadavky'!$F$6:$F$100,"Ano")</f>
        <v/>
      </c>
      <c r="H11" s="22">
        <f>COUNTIFS('Požadavky'!$B$6:$B$100,A11,'Požadavky'!$J$6:$J$100,"&lt;&gt;")</f>
        <v/>
      </c>
      <c r="I11" s="22">
        <f>COUNTIFS('Požadavky'!$B$6:$B$100,A11,'Požadavky'!$J$6:$J$100,"Custom vývoj")</f>
        <v/>
      </c>
      <c r="J11" s="22">
        <f>COUNTIFS('Požadavky'!$B$6:$B$100,A11,'Požadavky'!$J$6:$J$100,"Nesplněno")+COUNTIFS('Požadavky'!$B$6:$B$100,A11,'Požadavky'!$J$6:$J$100,"3rd party")</f>
        <v/>
      </c>
      <c r="K11" s="22">
        <f>COUNTIFS('Požadavky'!$B$6:$B$100,A11,'Požadavky'!$M$6:$M$100,"CHYBÍ odkaz FS")</f>
        <v/>
      </c>
    </row>
    <row r="12">
      <c r="A12" s="22" t="inlineStr">
        <is>
          <t>MIG</t>
        </is>
      </c>
      <c r="B12" s="22" t="inlineStr">
        <is>
          <t>Datová migrace</t>
        </is>
      </c>
      <c r="C12" s="22">
        <f>COUNTIF('Požadavky'!$B$6:$B$100,A12)</f>
        <v/>
      </c>
      <c r="D12" s="22">
        <f>COUNTIFS('Požadavky'!$B$6:$B$100,A12,'Požadavky'!$E$6:$E$100,"Must")</f>
        <v/>
      </c>
      <c r="E12" s="22">
        <f>COUNTIFS('Požadavky'!$B$6:$B$100,A12,'Požadavky'!$E$6:$E$100,"Should")</f>
        <v/>
      </c>
      <c r="F12" s="22">
        <f>COUNTIFS('Požadavky'!$B$6:$B$100,A12,'Požadavky'!$E$6:$E$100,"Could")</f>
        <v/>
      </c>
      <c r="G12" s="22">
        <f>COUNTIFS('Požadavky'!$B$6:$B$100,A12,'Požadavky'!$F$6:$F$100,"Ano")</f>
        <v/>
      </c>
      <c r="H12" s="22">
        <f>COUNTIFS('Požadavky'!$B$6:$B$100,A12,'Požadavky'!$J$6:$J$100,"&lt;&gt;")</f>
        <v/>
      </c>
      <c r="I12" s="22">
        <f>COUNTIFS('Požadavky'!$B$6:$B$100,A12,'Požadavky'!$J$6:$J$100,"Custom vývoj")</f>
        <v/>
      </c>
      <c r="J12" s="22">
        <f>COUNTIFS('Požadavky'!$B$6:$B$100,A12,'Požadavky'!$J$6:$J$100,"Nesplněno")+COUNTIFS('Požadavky'!$B$6:$B$100,A12,'Požadavky'!$J$6:$J$100,"3rd party")</f>
        <v/>
      </c>
      <c r="K12" s="22">
        <f>COUNTIFS('Požadavky'!$B$6:$B$100,A12,'Požadavky'!$M$6:$M$100,"CHYBÍ odkaz FS")</f>
        <v/>
      </c>
    </row>
    <row r="13">
      <c r="A13" s="22" t="inlineStr">
        <is>
          <t>NFR</t>
        </is>
      </c>
      <c r="B13" s="22" t="inlineStr">
        <is>
          <t>Nefunkční požadavky</t>
        </is>
      </c>
      <c r="C13" s="22">
        <f>COUNTIF('Požadavky'!$B$6:$B$100,A13)</f>
        <v/>
      </c>
      <c r="D13" s="22">
        <f>COUNTIFS('Požadavky'!$B$6:$B$100,A13,'Požadavky'!$E$6:$E$100,"Must")</f>
        <v/>
      </c>
      <c r="E13" s="22">
        <f>COUNTIFS('Požadavky'!$B$6:$B$100,A13,'Požadavky'!$E$6:$E$100,"Should")</f>
        <v/>
      </c>
      <c r="F13" s="22">
        <f>COUNTIFS('Požadavky'!$B$6:$B$100,A13,'Požadavky'!$E$6:$E$100,"Could")</f>
        <v/>
      </c>
      <c r="G13" s="22">
        <f>COUNTIFS('Požadavky'!$B$6:$B$100,A13,'Požadavky'!$F$6:$F$100,"Ano")</f>
        <v/>
      </c>
      <c r="H13" s="22">
        <f>COUNTIFS('Požadavky'!$B$6:$B$100,A13,'Požadavky'!$J$6:$J$100,"&lt;&gt;")</f>
        <v/>
      </c>
      <c r="I13" s="22">
        <f>COUNTIFS('Požadavky'!$B$6:$B$100,A13,'Požadavky'!$J$6:$J$100,"Custom vývoj")</f>
        <v/>
      </c>
      <c r="J13" s="22">
        <f>COUNTIFS('Požadavky'!$B$6:$B$100,A13,'Požadavky'!$J$6:$J$100,"Nesplněno")+COUNTIFS('Požadavky'!$B$6:$B$100,A13,'Požadavky'!$J$6:$J$100,"3rd party")</f>
        <v/>
      </c>
      <c r="K13" s="22">
        <f>COUNTIFS('Požadavky'!$B$6:$B$100,A13,'Požadavky'!$M$6:$M$100,"CHYBÍ odkaz FS")</f>
        <v/>
      </c>
    </row>
    <row r="14">
      <c r="A14" s="22" t="inlineStr">
        <is>
          <t>SEC</t>
        </is>
      </c>
      <c r="B14" s="22" t="inlineStr">
        <is>
          <t>Bezpečnost</t>
        </is>
      </c>
      <c r="C14" s="22">
        <f>COUNTIF('Požadavky'!$B$6:$B$100,A14)</f>
        <v/>
      </c>
      <c r="D14" s="22">
        <f>COUNTIFS('Požadavky'!$B$6:$B$100,A14,'Požadavky'!$E$6:$E$100,"Must")</f>
        <v/>
      </c>
      <c r="E14" s="22">
        <f>COUNTIFS('Požadavky'!$B$6:$B$100,A14,'Požadavky'!$E$6:$E$100,"Should")</f>
        <v/>
      </c>
      <c r="F14" s="22">
        <f>COUNTIFS('Požadavky'!$B$6:$B$100,A14,'Požadavky'!$E$6:$E$100,"Could")</f>
        <v/>
      </c>
      <c r="G14" s="22">
        <f>COUNTIFS('Požadavky'!$B$6:$B$100,A14,'Požadavky'!$F$6:$F$100,"Ano")</f>
        <v/>
      </c>
      <c r="H14" s="22">
        <f>COUNTIFS('Požadavky'!$B$6:$B$100,A14,'Požadavky'!$J$6:$J$100,"&lt;&gt;")</f>
        <v/>
      </c>
      <c r="I14" s="22">
        <f>COUNTIFS('Požadavky'!$B$6:$B$100,A14,'Požadavky'!$J$6:$J$100,"Custom vývoj")</f>
        <v/>
      </c>
      <c r="J14" s="22">
        <f>COUNTIFS('Požadavky'!$B$6:$B$100,A14,'Požadavky'!$J$6:$J$100,"Nesplněno")+COUNTIFS('Požadavky'!$B$6:$B$100,A14,'Požadavky'!$J$6:$J$100,"3rd party")</f>
        <v/>
      </c>
      <c r="K14" s="22">
        <f>COUNTIFS('Požadavky'!$B$6:$B$100,A14,'Požadavky'!$M$6:$M$100,"CHYBÍ odkaz FS")</f>
        <v/>
      </c>
    </row>
    <row r="15">
      <c r="A15" s="22" t="inlineStr">
        <is>
          <t>REG</t>
        </is>
      </c>
      <c r="B15" s="22" t="inlineStr">
        <is>
          <t>Regulatorní soulad a auditovatelnost</t>
        </is>
      </c>
      <c r="C15" s="22">
        <f>COUNTIF('Požadavky'!$B$6:$B$100,A15)</f>
        <v/>
      </c>
      <c r="D15" s="22">
        <f>COUNTIFS('Požadavky'!$B$6:$B$100,A15,'Požadavky'!$E$6:$E$100,"Must")</f>
        <v/>
      </c>
      <c r="E15" s="22">
        <f>COUNTIFS('Požadavky'!$B$6:$B$100,A15,'Požadavky'!$E$6:$E$100,"Should")</f>
        <v/>
      </c>
      <c r="F15" s="22">
        <f>COUNTIFS('Požadavky'!$B$6:$B$100,A15,'Požadavky'!$E$6:$E$100,"Could")</f>
        <v/>
      </c>
      <c r="G15" s="22">
        <f>COUNTIFS('Požadavky'!$B$6:$B$100,A15,'Požadavky'!$F$6:$F$100,"Ano")</f>
        <v/>
      </c>
      <c r="H15" s="22">
        <f>COUNTIFS('Požadavky'!$B$6:$B$100,A15,'Požadavky'!$J$6:$J$100,"&lt;&gt;")</f>
        <v/>
      </c>
      <c r="I15" s="22">
        <f>COUNTIFS('Požadavky'!$B$6:$B$100,A15,'Požadavky'!$J$6:$J$100,"Custom vývoj")</f>
        <v/>
      </c>
      <c r="J15" s="22">
        <f>COUNTIFS('Požadavky'!$B$6:$B$100,A15,'Požadavky'!$J$6:$J$100,"Nesplněno")+COUNTIFS('Požadavky'!$B$6:$B$100,A15,'Požadavky'!$J$6:$J$100,"3rd party")</f>
        <v/>
      </c>
      <c r="K15" s="22">
        <f>COUNTIFS('Požadavky'!$B$6:$B$100,A15,'Požadavky'!$M$6:$M$100,"CHYBÍ odkaz FS")</f>
        <v/>
      </c>
    </row>
    <row r="16">
      <c r="A16" s="22" t="inlineStr">
        <is>
          <t>LEG</t>
        </is>
      </c>
      <c r="B16" s="22" t="inlineStr">
        <is>
          <t>Právní a smluvní požadavky</t>
        </is>
      </c>
      <c r="C16" s="22">
        <f>COUNTIF('Požadavky'!$B$6:$B$100,A16)</f>
        <v/>
      </c>
      <c r="D16" s="22">
        <f>COUNTIFS('Požadavky'!$B$6:$B$100,A16,'Požadavky'!$E$6:$E$100,"Must")</f>
        <v/>
      </c>
      <c r="E16" s="22">
        <f>COUNTIFS('Požadavky'!$B$6:$B$100,A16,'Požadavky'!$E$6:$E$100,"Should")</f>
        <v/>
      </c>
      <c r="F16" s="22">
        <f>COUNTIFS('Požadavky'!$B$6:$B$100,A16,'Požadavky'!$E$6:$E$100,"Could")</f>
        <v/>
      </c>
      <c r="G16" s="22">
        <f>COUNTIFS('Požadavky'!$B$6:$B$100,A16,'Požadavky'!$F$6:$F$100,"Ano")</f>
        <v/>
      </c>
      <c r="H16" s="22">
        <f>COUNTIFS('Požadavky'!$B$6:$B$100,A16,'Požadavky'!$J$6:$J$100,"&lt;&gt;")</f>
        <v/>
      </c>
      <c r="I16" s="22">
        <f>COUNTIFS('Požadavky'!$B$6:$B$100,A16,'Požadavky'!$J$6:$J$100,"Custom vývoj")</f>
        <v/>
      </c>
      <c r="J16" s="22">
        <f>COUNTIFS('Požadavky'!$B$6:$B$100,A16,'Požadavky'!$J$6:$J$100,"Nesplněno")+COUNTIFS('Požadavky'!$B$6:$B$100,A16,'Požadavky'!$J$6:$J$100,"3rd party")</f>
        <v/>
      </c>
      <c r="K16" s="22">
        <f>COUNTIFS('Požadavky'!$B$6:$B$100,A16,'Požadavky'!$M$6:$M$100,"CHYBÍ odkaz FS")</f>
        <v/>
      </c>
    </row>
    <row r="17">
      <c r="A17" s="23" t="inlineStr">
        <is>
          <t>Celkem</t>
        </is>
      </c>
      <c r="B17" s="22" t="n"/>
      <c r="C17" s="23">
        <f>SUM(C6:C16)</f>
        <v/>
      </c>
      <c r="D17" s="23">
        <f>SUM(D6:D16)</f>
        <v/>
      </c>
      <c r="E17" s="23">
        <f>SUM(E6:E16)</f>
        <v/>
      </c>
      <c r="F17" s="23">
        <f>SUM(F6:F16)</f>
        <v/>
      </c>
      <c r="G17" s="23">
        <f>SUM(G6:G16)</f>
        <v/>
      </c>
      <c r="H17" s="23">
        <f>SUM(H6:H16)</f>
        <v/>
      </c>
      <c r="I17" s="23">
        <f>SUM(I6:I16)</f>
        <v/>
      </c>
      <c r="J17" s="23">
        <f>SUM(J6:J16)</f>
        <v/>
      </c>
      <c r="K17" s="23">
        <f>SUM(K6:K16)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" customWidth="1" min="3" max="3"/>
    <col width="16" customWidth="1" min="4" max="4"/>
    <col width="7" customWidth="1" min="5" max="5"/>
    <col width="46" customWidth="1" min="6" max="6"/>
    <col width="3" customWidth="1" min="7" max="7"/>
    <col width="10" customWidth="1" min="8" max="8"/>
    <col width="7" customWidth="1" min="9" max="9"/>
  </cols>
  <sheetData>
    <row r="1">
      <c r="A1" s="1" t="inlineStr">
        <is>
          <t>Číselníky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3" t="inlineStr">
        <is>
          <t>Oblast</t>
        </is>
      </c>
      <c r="B5" s="13" t="inlineStr">
        <is>
          <t>Název</t>
        </is>
      </c>
      <c r="C5" s="13" t="inlineStr"/>
      <c r="D5" s="13" t="inlineStr">
        <is>
          <t>Odpověď</t>
        </is>
      </c>
      <c r="E5" s="13" t="inlineStr">
        <is>
          <t>Body</t>
        </is>
      </c>
      <c r="F5" s="13" t="inlineStr">
        <is>
          <t>Význam</t>
        </is>
      </c>
      <c r="G5" s="13" t="inlineStr"/>
      <c r="H5" s="13" t="inlineStr">
        <is>
          <t>MoSCoW</t>
        </is>
      </c>
      <c r="I5" s="13" t="inlineStr">
        <is>
          <t>Váha</t>
        </is>
      </c>
    </row>
    <row r="6">
      <c r="A6" t="inlineStr">
        <is>
          <t>KYC</t>
        </is>
      </c>
      <c r="B6" t="inlineStr">
        <is>
          <t>Onboarding a kontrola klienta (KYC/CDD)</t>
        </is>
      </c>
      <c r="D6" t="inlineStr">
        <is>
          <t>OOTB</t>
        </is>
      </c>
      <c r="E6" t="n">
        <v>5</v>
      </c>
      <c r="F6" t="inlineStr">
        <is>
          <t>Funkce je ve standardu produktu, stačí zapnout</t>
        </is>
      </c>
      <c r="H6" t="inlineStr">
        <is>
          <t>Must</t>
        </is>
      </c>
      <c r="I6" t="n">
        <v>3</v>
      </c>
    </row>
    <row r="7">
      <c r="A7" t="inlineStr">
        <is>
          <t>SCR</t>
        </is>
      </c>
      <c r="B7" t="inlineStr">
        <is>
          <t>Screening (sankce, PEP, adverse media)</t>
        </is>
      </c>
      <c r="D7" t="inlineStr">
        <is>
          <t>Konfigurace</t>
        </is>
      </c>
      <c r="E7" t="n">
        <v>3</v>
      </c>
      <c r="F7" t="inlineStr">
        <is>
          <t>Nastavení v UI bez programování</t>
        </is>
      </c>
      <c r="H7" t="inlineStr">
        <is>
          <t>Should</t>
        </is>
      </c>
      <c r="I7" t="n">
        <v>2</v>
      </c>
    </row>
    <row r="8">
      <c r="A8" t="inlineStr">
        <is>
          <t>TM</t>
        </is>
      </c>
      <c r="B8" t="inlineStr">
        <is>
          <t>Monitoring transakcí</t>
        </is>
      </c>
      <c r="D8" t="inlineStr">
        <is>
          <t>Custom vývoj</t>
        </is>
      </c>
      <c r="E8" t="n">
        <v>1</v>
      </c>
      <c r="F8" t="inlineStr">
        <is>
          <t>Vyžaduje vývoj; zvyšuje technický dluh a TCO</t>
        </is>
      </c>
      <c r="H8" t="inlineStr">
        <is>
          <t>Could</t>
        </is>
      </c>
      <c r="I8" t="n">
        <v>1</v>
      </c>
    </row>
    <row r="9">
      <c r="A9" t="inlineStr">
        <is>
          <t>CAS</t>
        </is>
      </c>
      <c r="B9" t="inlineStr">
        <is>
          <t>Správa případů a rozhodování</t>
        </is>
      </c>
      <c r="D9" t="inlineStr">
        <is>
          <t>3rd party</t>
        </is>
      </c>
      <c r="E9" t="n">
        <v>0</v>
      </c>
      <c r="F9" t="inlineStr">
        <is>
          <t>Zajišťuje produkt třetí strany</t>
        </is>
      </c>
      <c r="H9" t="inlineStr">
        <is>
          <t>Won't</t>
        </is>
      </c>
      <c r="I9" t="n">
        <v>0</v>
      </c>
    </row>
    <row r="10">
      <c r="A10" t="inlineStr">
        <is>
          <t>REP</t>
        </is>
      </c>
      <c r="B10" t="inlineStr">
        <is>
          <t>Reporting a součinnost s FAÚ</t>
        </is>
      </c>
      <c r="D10" t="inlineStr">
        <is>
          <t>Nesplněno</t>
        </is>
      </c>
      <c r="E10" t="n">
        <v>0</v>
      </c>
      <c r="F10" t="inlineStr">
        <is>
          <t>Dodavatel neumí</t>
        </is>
      </c>
    </row>
    <row r="11">
      <c r="A11" t="inlineStr">
        <is>
          <t>INT</t>
        </is>
      </c>
      <c r="B11" t="inlineStr">
        <is>
          <t>Integrace</t>
        </is>
      </c>
    </row>
    <row r="12">
      <c r="A12" t="inlineStr">
        <is>
          <t>MIG</t>
        </is>
      </c>
      <c r="B12" t="inlineStr">
        <is>
          <t>Datová migrace</t>
        </is>
      </c>
    </row>
    <row r="13">
      <c r="A13" t="inlineStr">
        <is>
          <t>NFR</t>
        </is>
      </c>
      <c r="B13" t="inlineStr">
        <is>
          <t>Nefunkční požadavky</t>
        </is>
      </c>
    </row>
    <row r="14">
      <c r="A14" t="inlineStr">
        <is>
          <t>SEC</t>
        </is>
      </c>
      <c r="B14" t="inlineStr">
        <is>
          <t>Bezpečnost</t>
        </is>
      </c>
    </row>
    <row r="15">
      <c r="A15" t="inlineStr">
        <is>
          <t>REG</t>
        </is>
      </c>
      <c r="B15" t="inlineStr">
        <is>
          <t>Regulatorní soulad a auditovatelnost</t>
        </is>
      </c>
    </row>
    <row r="16">
      <c r="A16" t="inlineStr">
        <is>
          <t>LEG</t>
        </is>
      </c>
      <c r="B16" t="inlineStr">
        <is>
          <t>Právní a smluvní požadavky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2026-10-06T09:49:34Z</dcterms:created>
  <dcterms:modified xmlns:dcterms="http://purl.org/dc/terms/" xmlns:xsi="http://www.w3.org/2001/XMLSchema-instance" xsi:type="dcterms:W3CDTF">2026-10-06T09:49:34Z</dcterms:modified>
</cp:coreProperties>
</file>