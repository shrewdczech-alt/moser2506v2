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ožadavky" sheetId="2" state="visible" r:id="rId2"/>
    <sheet xmlns:r="http://schemas.openxmlformats.org/officeDocument/2006/relationships" name="Souhrn" sheetId="3" state="visible" r:id="rId3"/>
    <sheet xmlns:r="http://schemas.openxmlformats.org/officeDocument/2006/relationships" name="Číselníky" sheetId="4" state="visible" r:id="rId4"/>
    <sheet xmlns:r="http://schemas.openxmlformats.org/officeDocument/2006/relationships" name="Workshopy" sheetId="5" state="visible" r:id="rId5"/>
    <sheet xmlns:r="http://schemas.openxmlformats.org/officeDocument/2006/relationships" name="Konflikty" sheetId="6" state="visible" r:id="rId6"/>
    <sheet xmlns:r="http://schemas.openxmlformats.org/officeDocument/2006/relationships" name="Změnový log" sheetId="7" state="visible" r:id="rId7"/>
  </sheets>
  <definedNames>
    <definedName name="_xlnm._FilterDatabase" localSheetId="1" hidden="1">'Požadavky'!$A$5:$X$100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2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horizontal="center"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horizontal="center" vertical="top" wrapText="1"/>
    </xf>
    <xf numFmtId="0" fontId="0" fillId="4" borderId="1" applyAlignment="1" applyProtection="1" pivotButton="0" quotePrefix="0" xfId="0">
      <alignment horizontal="center" vertical="top" wrapText="1"/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0" fontId="6" fillId="7" borderId="1" applyAlignment="1" applyProtection="1" pivotButton="0" quotePrefix="0" xfId="0">
      <alignment horizontal="center" vertical="top" wrapText="1"/>
      <protection locked="0" hidden="0"/>
    </xf>
    <xf numFmtId="0" fontId="0" fillId="0" borderId="1" pivotButton="0" quotePrefix="0" xfId="0"/>
    <xf numFmtId="0" fontId="6" fillId="0" borderId="1" pivotButton="0" quotePrefix="0" xfId="0"/>
    <xf numFmtId="164" fontId="6" fillId="5" borderId="0" pivotButton="0" quotePrefix="0" xfId="0"/>
    <xf numFmtId="2" fontId="6" fillId="5" borderId="0" pivotButton="0" quotePrefix="0" xfId="0"/>
    <xf numFmtId="1" fontId="6" fillId="5" borderId="0" pivotButton="0" quotePrefix="0" xfId="0"/>
    <xf numFmtId="49" fontId="6" fillId="5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Matice shody – fiktivně vyplněná, verze 1.0 schválená SteerCo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Účel</t>
        </is>
      </c>
    </row>
    <row r="6">
      <c r="B6" s="5" t="inlineStr">
        <is>
          <t>Matice shody je jediný zdroj požadavků výběrového řízení. Každý požadavek má unikátní ID, vlastníka, prioritu MoSCoW, zdroj (legislativa / standard Banky) a akceptační kritérium. Dodavatel ke každému požadavku vybírá normovanou odpověď, takže odpovědi lze kvantitativně porovnat.</t>
        </is>
      </c>
    </row>
    <row r="7">
      <c r="B7" s="4" t="inlineStr">
        <is>
          <t>Jak sbírat požadavky se stakeholdery</t>
        </is>
      </c>
    </row>
    <row r="8">
      <c r="B8" s="5" t="inlineStr">
        <is>
          <t>1) Business analytik připraví návrh požadavků z analýzy výchozího stavu (procesy onboardingu, screeningu, rozhodování v CRM).</t>
        </is>
      </c>
    </row>
    <row r="9">
      <c r="B9" s="5" t="inlineStr">
        <is>
          <t>2) Samostatné workshopy po stakeholderech: IT, Compliance, Legal, Obchod. Každý workshop zapsat do listu Workshopy.</t>
        </is>
      </c>
    </row>
    <row r="10">
      <c r="B10" s="5" t="inlineStr">
        <is>
          <t>3) Každý požadavek má jednoho vlastníka, který ho obhájí a schválí jeho akceptační kritérium.</t>
        </is>
      </c>
    </row>
    <row r="11">
      <c r="B11" s="5" t="inlineStr">
        <is>
          <t>4) Konflikty mezi stakeholdery (např. Obchod vs. Compliance) zapsat do listu Konflikty a rozhodnout na konsolidačním workshopu / SteerCo.</t>
        </is>
      </c>
    </row>
    <row r="12">
      <c r="B12" s="5" t="inlineStr">
        <is>
          <t>5) Před vyhlášením tendru musí mít všechny požadavky stav Schváleno nebo Schváleno s úpravou; K.O. kritéria a váhy schvaluje SteerCo.</t>
        </is>
      </c>
    </row>
    <row r="13">
      <c r="B13" s="5" t="inlineStr">
        <is>
          <t>6) Pro dodavatele se z matice odstraní interní sloupce (vlastník, stav, poznámka, hodnoticí sloupce) – viz Příloha 1 RFP.</t>
        </is>
      </c>
    </row>
    <row r="14">
      <c r="B14" s="4" t="inlineStr">
        <is>
          <t>Pravidla psaní požadavků</t>
        </is>
      </c>
    </row>
    <row r="15">
      <c r="B15" s="5" t="inlineStr">
        <is>
          <t>• Jeden požadavek = jedna ověřitelná vlastnost. Žádné „systém bude uživatelsky přívětivý“.</t>
        </is>
      </c>
    </row>
    <row r="16">
      <c r="B16" s="5" t="inlineStr">
        <is>
          <t>• Akceptační kritérium říká, jak splnění ověříme (demo, test v SIT, doklad).</t>
        </is>
      </c>
    </row>
    <row r="17">
      <c r="B17" s="5" t="inlineStr">
        <is>
          <t>• ID má tvar OBLAST-NNN (KYC, SCR, TM, CAS, REP, INT, MIG, NFR, SEC, REG, LEG); ID se po vyhlášení nemění, zrušený požadavek dostane stav Zamítnuto.</t>
        </is>
      </c>
    </row>
    <row r="18">
      <c r="B18" s="5" t="inlineStr">
        <is>
          <t>• K.O. = Pass/Fail, nebodují se. Must = 3, Should = 2, Could = 1, Won't = 0 (váha v bodování).</t>
        </is>
      </c>
    </row>
    <row r="19">
      <c r="B19" s="4" t="inlineStr">
        <is>
          <t>Normované odpovědi dodavatele a body</t>
        </is>
      </c>
    </row>
    <row r="20">
      <c r="B20" s="5" t="inlineStr">
        <is>
          <t>OOTB = 5 b. (funkce je v základu, stačí zapnout) · Konfigurace = 3 b. (nastavení v UI bez programování) · Custom vývoj = 1 b. (nutný vývoj, zvyšuje technický dluh a TCO) · 3rd party = 0 b. · Nesplněno = 0 b.</t>
        </is>
      </c>
    </row>
    <row r="21">
      <c r="B21" s="5" t="inlineStr">
        <is>
          <t>Smluvní podmínky (LEG, REG-001): Akceptuje / Akceptuje s výhradou / Neakceptuje.</t>
        </is>
      </c>
    </row>
    <row r="22">
      <c r="B22" s="4" t="inlineStr">
        <is>
          <t>Pravidlo křížové kontroly</t>
        </is>
      </c>
    </row>
    <row r="23">
      <c r="B23" s="5" t="inlineStr">
        <is>
          <t>U odpovědí OOTB, Konfigurace a Custom vývoj musí dodavatel uvést kapitolu Feasibility Study, kde je řešení popsáno. Pokud odkaz chybí, nebo komise při kontrole FS / skriptovaném demu tvrzení neověří (sloupec Ověřeno = Ne), požadavek se považuje za nesplněný (0 bodů; u K.O. = FAIL). Každé snížení bodů komise zdůvodní jednou větou.</t>
        </is>
      </c>
    </row>
    <row r="24">
      <c r="B24" s="4" t="inlineStr">
        <is>
          <t>Barvy</t>
        </is>
      </c>
    </row>
    <row r="26">
      <c r="A26" s="6" t="n"/>
      <c r="B26" t="inlineStr">
        <is>
          <t>Vyplňuje Banka (stakeholdeři / projektový tým)</t>
        </is>
      </c>
    </row>
    <row r="27">
      <c r="A27" s="7" t="n"/>
      <c r="B27" t="inlineStr">
        <is>
          <t>Vyplňuje dodavatel</t>
        </is>
      </c>
    </row>
    <row r="28">
      <c r="A28" s="8" t="n"/>
      <c r="B28" t="inlineStr">
        <is>
          <t>Vyplňuje hodnoticí komise</t>
        </is>
      </c>
    </row>
    <row r="29">
      <c r="A29" s="9" t="n"/>
      <c r="B29" t="inlineStr">
        <is>
          <t>Vypočteno vzorcem – needitovat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60" customWidth="1" min="3" max="3"/>
    <col width="30" customWidth="1" min="4" max="4"/>
    <col width="13" customWidth="1" min="5" max="5"/>
    <col width="10" customWidth="1" min="6" max="6"/>
    <col width="9" customWidth="1" min="7" max="7"/>
    <col width="40" customWidth="1" min="8" max="8"/>
    <col width="10" customWidth="1" min="9" max="9"/>
    <col width="16" customWidth="1" min="10" max="10"/>
    <col width="13" customWidth="1" min="11" max="11"/>
    <col width="32" customWidth="1" min="12" max="12"/>
    <col width="15" customWidth="1" min="13" max="13"/>
    <col width="40" customWidth="1" min="14" max="14"/>
    <col width="13" customWidth="1" min="15" max="15"/>
    <col width="14" customWidth="1" min="16" max="16"/>
    <col width="8" customWidth="1" min="17" max="17"/>
    <col width="9" customWidth="1" min="18" max="18"/>
    <col width="11" customWidth="1" min="19" max="19"/>
    <col width="9" customWidth="1" min="20" max="20"/>
    <col width="12" customWidth="1" min="21" max="21"/>
    <col width="9" customWidth="1" min="22" max="22"/>
    <col width="9" customWidth="1" min="23" max="23"/>
    <col width="36" customWidth="1" min="24" max="24"/>
  </cols>
  <sheetData>
    <row r="1">
      <c r="A1" s="1" t="inlineStr">
        <is>
          <t>Matice shody – požadavky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4">
      <c r="A4" s="10" t="inlineStr">
        <is>
          <t>BANKA</t>
        </is>
      </c>
      <c r="B4" s="10" t="inlineStr">
        <is>
          <t>BANKA</t>
        </is>
      </c>
      <c r="C4" s="10" t="inlineStr">
        <is>
          <t>BANKA</t>
        </is>
      </c>
      <c r="D4" s="10" t="inlineStr">
        <is>
          <t>BANKA</t>
        </is>
      </c>
      <c r="E4" s="10" t="inlineStr">
        <is>
          <t>BANKA</t>
        </is>
      </c>
      <c r="F4" s="10" t="inlineStr">
        <is>
          <t>BANKA</t>
        </is>
      </c>
      <c r="G4" s="10" t="inlineStr">
        <is>
          <t>BANKA</t>
        </is>
      </c>
      <c r="H4" s="10" t="inlineStr">
        <is>
          <t>BANKA</t>
        </is>
      </c>
      <c r="I4" s="10" t="inlineStr">
        <is>
          <t>BANKA</t>
        </is>
      </c>
      <c r="J4" s="10" t="inlineStr">
        <is>
          <t>BANKA</t>
        </is>
      </c>
      <c r="K4" s="10" t="inlineStr">
        <is>
          <t>BANKA</t>
        </is>
      </c>
      <c r="L4" s="10" t="inlineStr">
        <is>
          <t>BANKA</t>
        </is>
      </c>
      <c r="M4" s="11" t="inlineStr">
        <is>
          <t>DODAVATEL</t>
        </is>
      </c>
      <c r="N4" s="11" t="inlineStr">
        <is>
          <t>DODAVATEL</t>
        </is>
      </c>
      <c r="O4" s="11" t="inlineStr">
        <is>
          <t>DODAVATEL</t>
        </is>
      </c>
      <c r="P4" s="12" t="inlineStr">
        <is>
          <t>VÝPOČET</t>
        </is>
      </c>
      <c r="Q4" s="12" t="inlineStr">
        <is>
          <t>VÝPOČET</t>
        </is>
      </c>
      <c r="R4" s="12" t="inlineStr">
        <is>
          <t>VÝPOČET</t>
        </is>
      </c>
      <c r="S4" s="13" t="inlineStr">
        <is>
          <t>KOMISE</t>
        </is>
      </c>
      <c r="T4" s="12" t="inlineStr">
        <is>
          <t>VÝPOČET</t>
        </is>
      </c>
      <c r="U4" s="12" t="inlineStr">
        <is>
          <t>VÝPOČET</t>
        </is>
      </c>
      <c r="V4" s="12" t="inlineStr">
        <is>
          <t>VÝPOČET</t>
        </is>
      </c>
      <c r="W4" s="12" t="inlineStr">
        <is>
          <t>VÝPOČET</t>
        </is>
      </c>
      <c r="X4" s="13" t="inlineStr">
        <is>
          <t>KOMISE</t>
        </is>
      </c>
    </row>
    <row r="5" ht="48" customHeight="1">
      <c r="A5" s="14" t="inlineStr">
        <is>
          <t>ID požadavku</t>
        </is>
      </c>
      <c r="B5" s="14" t="inlineStr">
        <is>
          <t>Oblast</t>
        </is>
      </c>
      <c r="C5" s="14" t="inlineStr">
        <is>
          <t>Text požadavku</t>
        </is>
      </c>
      <c r="D5" s="14" t="inlineStr">
        <is>
          <t>Zdroj / zdůvodnění (legislativa, standard)</t>
        </is>
      </c>
      <c r="E5" s="14" t="inlineStr">
        <is>
          <t>Vlastník požadavku (stakeholder)</t>
        </is>
      </c>
      <c r="F5" s="14" t="inlineStr">
        <is>
          <t>Priorita (MoSCoW)</t>
        </is>
      </c>
      <c r="G5" s="14" t="inlineStr">
        <is>
          <t>K.O. kritérium</t>
        </is>
      </c>
      <c r="H5" s="14" t="inlineStr">
        <is>
          <t>Akceptační kritérium (jak ověříme)</t>
        </is>
      </c>
      <c r="I5" s="14" t="inlineStr">
        <is>
          <t>Očekávaná kapitola FS</t>
        </is>
      </c>
      <c r="J5" s="14" t="inlineStr">
        <is>
          <t>Hodnoceno v</t>
        </is>
      </c>
      <c r="K5" s="14" t="inlineStr">
        <is>
          <t>Stav projednání</t>
        </is>
      </c>
      <c r="L5" s="14" t="inlineStr">
        <is>
          <t>Poznámka z workshopu</t>
        </is>
      </c>
      <c r="M5" s="15" t="inlineStr">
        <is>
          <t>Odpověď dodavatele</t>
        </is>
      </c>
      <c r="N5" s="15" t="inlineStr">
        <is>
          <t>Komentář dodavatele (jak je splněno, verze produktu, omezení)</t>
        </is>
      </c>
      <c r="O5" s="15" t="inlineStr">
        <is>
          <t>Odkaz do Feasibility Study (kapitola)</t>
        </is>
      </c>
      <c r="P5" s="16" t="inlineStr">
        <is>
          <t>Křížová kontrola FS</t>
        </is>
      </c>
      <c r="Q5" s="16" t="inlineStr">
        <is>
          <t>Váha MoSCoW</t>
        </is>
      </c>
      <c r="R5" s="16" t="inlineStr">
        <is>
          <t>Body dle odpovědi (0–5)</t>
        </is>
      </c>
      <c r="S5" s="17" t="inlineStr">
        <is>
          <t>Ověřeno komisí (FS / demo)</t>
        </is>
      </c>
      <c r="T5" s="16" t="inlineStr">
        <is>
          <t>Uznané body</t>
        </is>
      </c>
      <c r="U5" s="16" t="inlineStr">
        <is>
          <t>Výsledek K.O.</t>
        </is>
      </c>
      <c r="V5" s="16" t="inlineStr">
        <is>
          <t>Vážené body</t>
        </is>
      </c>
      <c r="W5" s="16" t="inlineStr">
        <is>
          <t>Max. vážené body</t>
        </is>
      </c>
      <c r="X5" s="17" t="inlineStr">
        <is>
          <t>Komentář komise (povinný při snížení bodů)</t>
        </is>
      </c>
    </row>
    <row r="6">
      <c r="A6" s="18" t="inlineStr">
        <is>
          <t>KYC-001</t>
        </is>
      </c>
      <c r="B6" s="18" t="inlineStr">
        <is>
          <t>KYC</t>
        </is>
      </c>
      <c r="C6" s="19" t="inlineStr">
        <is>
          <t>Systém při onboardingu automaticky vypočte rizikový profil klienta (nízké / střední / vysoké / nepřijatelné riziko) z konfigurovatelných rizikových faktorů: typ klienta, země (bydliště, občanství, sídlo, zdroj majetku), produkt, distribuční kanál, objem aktiv a struktura vlastnictví.</t>
        </is>
      </c>
      <c r="D6" s="19" t="inlineStr">
        <is>
          <t>§ 21a z. č. 253/2008 Sb.; vyhl. ČNB č. 67/2018 Sb.; EBA/GL/2021/02</t>
        </is>
      </c>
      <c r="E6" s="18" t="inlineStr">
        <is>
          <t>Compliance</t>
        </is>
      </c>
      <c r="F6" s="18" t="inlineStr">
        <is>
          <t>Must</t>
        </is>
      </c>
      <c r="G6" s="18" t="inlineStr">
        <is>
          <t>Ne</t>
        </is>
      </c>
      <c r="H6" s="19" t="inlineStr">
        <is>
          <t>Compliance bez zásahu dodavatele změní váhu faktoru v UI; změna po schválení čtyřma očima platí pro nové výpočty do 1 prac. dne.</t>
        </is>
      </c>
      <c r="I6" s="18" t="inlineStr">
        <is>
          <t>6.1</t>
        </is>
      </c>
      <c r="J6" s="18" t="inlineStr">
        <is>
          <t>Byznys (30 %)</t>
        </is>
      </c>
      <c r="K6" s="18" t="inlineStr">
        <is>
          <t>Schváleno</t>
        </is>
      </c>
      <c r="L6" s="19" t="inlineStr"/>
      <c r="M6" s="20" t="n"/>
      <c r="N6" s="21" t="n"/>
      <c r="O6" s="20" t="n"/>
      <c r="P6" s="22">
        <f>IF(M6="","",IF(OR(M6="OOTB",M6="Konfigurace",M6="Custom vývoj"),IF(O6="","CHYBÍ odkaz FS","OK"),"N/A"))</f>
        <v/>
      </c>
      <c r="Q6" s="22">
        <f>IF(F6="Must",3,IF(F6="Should",2,IF(F6="Could",1,0)))</f>
        <v/>
      </c>
      <c r="R6" s="22">
        <f>IF(M6="","",IF(M6="OOTB",5,IF(M6="Konfigurace",3,IF(M6="Custom vývoj",1,IF(OR(M6="3rd party",M6="Nesplněno"),0,"")))))</f>
        <v/>
      </c>
      <c r="S6" s="23" t="n"/>
      <c r="T6" s="22">
        <f>IF(R6="","",IF(OR(P6="CHYBÍ odkaz FS",S6="Ne"),0,R6))</f>
        <v/>
      </c>
      <c r="U6" s="22">
        <f>IF(G6&lt;&gt;"Ano","",IF(M6="","",IF(OR(M6="Nesplněno",M6="3rd party",M6="Neakceptuje",S6="Ne",P6="CHYBÍ odkaz FS"),"FAIL",IF(M6="Akceptuje s výhradou","K VYJASNĚNÍ","PASS"))))</f>
        <v/>
      </c>
      <c r="V6" s="22">
        <f>IF(AND(J6="Byznys (30 %)",G6&lt;&gt;"Ano",ISNUMBER(T6)),T6*Q6,0)</f>
        <v/>
      </c>
      <c r="W6" s="22">
        <f>IF(AND(J6="Byznys (30 %)",G6&lt;&gt;"Ano",F6&lt;&gt;"Won't"),5*Q6,0)</f>
        <v/>
      </c>
      <c r="X6" s="24" t="n"/>
    </row>
    <row r="7">
      <c r="A7" s="18" t="inlineStr">
        <is>
          <t>KYC-002</t>
        </is>
      </c>
      <c r="B7" s="18" t="inlineStr">
        <is>
          <t>KYC</t>
        </is>
      </c>
      <c r="C7" s="19" t="inlineStr">
        <is>
          <t>U každého výpočtu rizikového profilu je uložen vstup, použitá verze rizikového modelu, dílčí skóre faktorů a výsledné zdůvodnění; výpočet lze zpětně zrekonstruovat.</t>
        </is>
      </c>
      <c r="D7" s="19" t="inlineStr">
        <is>
          <t>§ 21 z. č. 253/2008 Sb.; požadavek interního auditu</t>
        </is>
      </c>
      <c r="E7" s="18" t="inlineStr">
        <is>
          <t>Compliance</t>
        </is>
      </c>
      <c r="F7" s="18" t="inlineStr">
        <is>
          <t>Must</t>
        </is>
      </c>
      <c r="G7" s="18" t="inlineStr">
        <is>
          <t>Ne</t>
        </is>
      </c>
      <c r="H7" s="19" t="inlineStr">
        <is>
          <t>Pro vzorek 20 klientů lze k libovolnému datu zobrazit, proč měli daný rizikový profil.</t>
        </is>
      </c>
      <c r="I7" s="18" t="inlineStr">
        <is>
          <t>9.2</t>
        </is>
      </c>
      <c r="J7" s="18" t="inlineStr">
        <is>
          <t>Byznys (30 %)</t>
        </is>
      </c>
      <c r="K7" s="18" t="inlineStr">
        <is>
          <t>Schváleno</t>
        </is>
      </c>
      <c r="L7" s="19" t="inlineStr">
        <is>
          <t>Nález interního auditu 2025 k současnému systému.</t>
        </is>
      </c>
      <c r="M7" s="20" t="n"/>
      <c r="N7" s="21" t="n"/>
      <c r="O7" s="20" t="n"/>
      <c r="P7" s="22">
        <f>IF(M7="","",IF(OR(M7="OOTB",M7="Konfigurace",M7="Custom vývoj"),IF(O7="","CHYBÍ odkaz FS","OK"),"N/A"))</f>
        <v/>
      </c>
      <c r="Q7" s="22">
        <f>IF(F7="Must",3,IF(F7="Should",2,IF(F7="Could",1,0)))</f>
        <v/>
      </c>
      <c r="R7" s="22">
        <f>IF(M7="","",IF(M7="OOTB",5,IF(M7="Konfigurace",3,IF(M7="Custom vývoj",1,IF(OR(M7="3rd party",M7="Nesplněno"),0,"")))))</f>
        <v/>
      </c>
      <c r="S7" s="23" t="n"/>
      <c r="T7" s="22">
        <f>IF(R7="","",IF(OR(P7="CHYBÍ odkaz FS",S7="Ne"),0,R7))</f>
        <v/>
      </c>
      <c r="U7" s="22">
        <f>IF(G7&lt;&gt;"Ano","",IF(M7="","",IF(OR(M7="Nesplněno",M7="3rd party",M7="Neakceptuje",S7="Ne",P7="CHYBÍ odkaz FS"),"FAIL",IF(M7="Akceptuje s výhradou","K VYJASNĚNÍ","PASS"))))</f>
        <v/>
      </c>
      <c r="V7" s="22">
        <f>IF(AND(J7="Byznys (30 %)",G7&lt;&gt;"Ano",ISNUMBER(T7)),T7*Q7,0)</f>
        <v/>
      </c>
      <c r="W7" s="22">
        <f>IF(AND(J7="Byznys (30 %)",G7&lt;&gt;"Ano",F7&lt;&gt;"Won't"),5*Q7,0)</f>
        <v/>
      </c>
      <c r="X7" s="24" t="n"/>
    </row>
    <row r="8">
      <c r="A8" s="18" t="inlineStr">
        <is>
          <t>KYC-003</t>
        </is>
      </c>
      <c r="B8" s="18" t="inlineStr">
        <is>
          <t>KYC</t>
        </is>
      </c>
      <c r="C8" s="19" t="inlineStr">
        <is>
          <t>Systém vynutí zesílenou kontrolu (EDD) pro vysoce rizikové klienty, PEP a klienty s vazbou na vysoce rizikové třetí země dle seznamu Evropské komise; workflow obsahuje povinné kroky, schválení vedoucím a uložení podkladů.</t>
        </is>
      </c>
      <c r="D8" s="19" t="inlineStr">
        <is>
          <t>§ 9a z. č. 253/2008 Sb.; nařízení v přenesené pravomoci (EU) 2016/1675</t>
        </is>
      </c>
      <c r="E8" s="18" t="inlineStr">
        <is>
          <t>Compliance</t>
        </is>
      </c>
      <c r="F8" s="18" t="inlineStr">
        <is>
          <t>Must</t>
        </is>
      </c>
      <c r="G8" s="18" t="inlineStr">
        <is>
          <t>Ne</t>
        </is>
      </c>
      <c r="H8" s="19" t="inlineStr">
        <is>
          <t>Onboarding PEP klienta nelze dokončit bez vyplnění všech povinných kroků EDD a schválení členem vedení dle vnitřního předpisu.</t>
        </is>
      </c>
      <c r="I8" s="18" t="inlineStr">
        <is>
          <t>6.1</t>
        </is>
      </c>
      <c r="J8" s="18" t="inlineStr">
        <is>
          <t>Byznys (30 %)</t>
        </is>
      </c>
      <c r="K8" s="18" t="inlineStr">
        <is>
          <t>Schváleno</t>
        </is>
      </c>
      <c r="L8" s="19" t="inlineStr"/>
      <c r="M8" s="20" t="n"/>
      <c r="N8" s="21" t="n"/>
      <c r="O8" s="20" t="n"/>
      <c r="P8" s="22">
        <f>IF(M8="","",IF(OR(M8="OOTB",M8="Konfigurace",M8="Custom vývoj"),IF(O8="","CHYBÍ odkaz FS","OK"),"N/A"))</f>
        <v/>
      </c>
      <c r="Q8" s="22">
        <f>IF(F8="Must",3,IF(F8="Should",2,IF(F8="Could",1,0)))</f>
        <v/>
      </c>
      <c r="R8" s="22">
        <f>IF(M8="","",IF(M8="OOTB",5,IF(M8="Konfigurace",3,IF(M8="Custom vývoj",1,IF(OR(M8="3rd party",M8="Nesplněno"),0,"")))))</f>
        <v/>
      </c>
      <c r="S8" s="23" t="n"/>
      <c r="T8" s="22">
        <f>IF(R8="","",IF(OR(P8="CHYBÍ odkaz FS",S8="Ne"),0,R8))</f>
        <v/>
      </c>
      <c r="U8" s="22">
        <f>IF(G8&lt;&gt;"Ano","",IF(M8="","",IF(OR(M8="Nesplněno",M8="3rd party",M8="Neakceptuje",S8="Ne",P8="CHYBÍ odkaz FS"),"FAIL",IF(M8="Akceptuje s výhradou","K VYJASNĚNÍ","PASS"))))</f>
        <v/>
      </c>
      <c r="V8" s="22">
        <f>IF(AND(J8="Byznys (30 %)",G8&lt;&gt;"Ano",ISNUMBER(T8)),T8*Q8,0)</f>
        <v/>
      </c>
      <c r="W8" s="22">
        <f>IF(AND(J8="Byznys (30 %)",G8&lt;&gt;"Ano",F8&lt;&gt;"Won't"),5*Q8,0)</f>
        <v/>
      </c>
      <c r="X8" s="24" t="n"/>
    </row>
    <row r="9">
      <c r="A9" s="18" t="inlineStr">
        <is>
          <t>KYC-004</t>
        </is>
      </c>
      <c r="B9" s="18" t="inlineStr">
        <is>
          <t>KYC</t>
        </is>
      </c>
      <c r="C9" s="19" t="inlineStr">
        <is>
          <t>Evidence a ověření skutečného majitele (UBO) včetně vícevrstvých vlastnických struktur (holdingy, svěřenské fondy, trusty, nadace) s grafickou vizualizací struktury a výpočtem nepřímého podílu.</t>
        </is>
      </c>
      <c r="D9" s="19" t="inlineStr">
        <is>
          <t>§ 9 odst. 2 písm. b) z. č. 253/2008 Sb.; z. č. 37/2021 Sb.</t>
        </is>
      </c>
      <c r="E9" s="18" t="inlineStr">
        <is>
          <t>Compliance</t>
        </is>
      </c>
      <c r="F9" s="18" t="inlineStr">
        <is>
          <t>Must</t>
        </is>
      </c>
      <c r="G9" s="18" t="inlineStr">
        <is>
          <t>Ne</t>
        </is>
      </c>
      <c r="H9" s="19" t="inlineStr">
        <is>
          <t>Struktura se 4 úrovněmi vlastnictví a svěřenským fondem se zobrazí graficky a systém určí UBO dle prahu 25 %.</t>
        </is>
      </c>
      <c r="I9" s="18" t="inlineStr">
        <is>
          <t>6.1</t>
        </is>
      </c>
      <c r="J9" s="18" t="inlineStr">
        <is>
          <t>Byznys (30 %)</t>
        </is>
      </c>
      <c r="K9" s="18" t="inlineStr">
        <is>
          <t>Schváleno</t>
        </is>
      </c>
      <c r="L9" s="19" t="inlineStr">
        <is>
          <t>Cca 40 % klientů PO má vícevrstvou strukturu.</t>
        </is>
      </c>
      <c r="M9" s="20" t="n"/>
      <c r="N9" s="21" t="n"/>
      <c r="O9" s="20" t="n"/>
      <c r="P9" s="22">
        <f>IF(M9="","",IF(OR(M9="OOTB",M9="Konfigurace",M9="Custom vývoj"),IF(O9="","CHYBÍ odkaz FS","OK"),"N/A"))</f>
        <v/>
      </c>
      <c r="Q9" s="22">
        <f>IF(F9="Must",3,IF(F9="Should",2,IF(F9="Could",1,0)))</f>
        <v/>
      </c>
      <c r="R9" s="22">
        <f>IF(M9="","",IF(M9="OOTB",5,IF(M9="Konfigurace",3,IF(M9="Custom vývoj",1,IF(OR(M9="3rd party",M9="Nesplněno"),0,"")))))</f>
        <v/>
      </c>
      <c r="S9" s="23" t="n"/>
      <c r="T9" s="22">
        <f>IF(R9="","",IF(OR(P9="CHYBÍ odkaz FS",S9="Ne"),0,R9))</f>
        <v/>
      </c>
      <c r="U9" s="22">
        <f>IF(G9&lt;&gt;"Ano","",IF(M9="","",IF(OR(M9="Nesplněno",M9="3rd party",M9="Neakceptuje",S9="Ne",P9="CHYBÍ odkaz FS"),"FAIL",IF(M9="Akceptuje s výhradou","K VYJASNĚNÍ","PASS"))))</f>
        <v/>
      </c>
      <c r="V9" s="22">
        <f>IF(AND(J9="Byznys (30 %)",G9&lt;&gt;"Ano",ISNUMBER(T9)),T9*Q9,0)</f>
        <v/>
      </c>
      <c r="W9" s="22">
        <f>IF(AND(J9="Byznys (30 %)",G9&lt;&gt;"Ano",F9&lt;&gt;"Won't"),5*Q9,0)</f>
        <v/>
      </c>
      <c r="X9" s="24" t="n"/>
    </row>
    <row r="10">
      <c r="A10" s="18" t="inlineStr">
        <is>
          <t>KYC-005</t>
        </is>
      </c>
      <c r="B10" s="18" t="inlineStr">
        <is>
          <t>KYC</t>
        </is>
      </c>
      <c r="C10" s="19" t="inlineStr">
        <is>
          <t>Porovnání evidovaných skutečných majitelů s Evidencí skutečných majitelů (ESM) a podpora procesu hlášení nesrovnalosti.</t>
        </is>
      </c>
      <c r="D10" s="19" t="inlineStr">
        <is>
          <t>z. č. 37/2021 Sb.</t>
        </is>
      </c>
      <c r="E10" s="18" t="inlineStr">
        <is>
          <t>Compliance</t>
        </is>
      </c>
      <c r="F10" s="18" t="inlineStr">
        <is>
          <t>Should</t>
        </is>
      </c>
      <c r="G10" s="18" t="inlineStr">
        <is>
          <t>Ne</t>
        </is>
      </c>
      <c r="H10" s="19" t="inlineStr">
        <is>
          <t>Systém označí rozdíl mezi UBO v bance a výpisem z ESM a vytvoří úkol pro Compliance.</t>
        </is>
      </c>
      <c r="I10" s="18" t="inlineStr">
        <is>
          <t>5.6</t>
        </is>
      </c>
      <c r="J10" s="18" t="inlineStr">
        <is>
          <t>Byznys (30 %)</t>
        </is>
      </c>
      <c r="K10" s="18" t="inlineStr">
        <is>
          <t>Schváleno</t>
        </is>
      </c>
      <c r="L10" s="19" t="inlineStr"/>
      <c r="M10" s="20" t="n"/>
      <c r="N10" s="21" t="n"/>
      <c r="O10" s="20" t="n"/>
      <c r="P10" s="22">
        <f>IF(M10="","",IF(OR(M10="OOTB",M10="Konfigurace",M10="Custom vývoj"),IF(O10="","CHYBÍ odkaz FS","OK"),"N/A"))</f>
        <v/>
      </c>
      <c r="Q10" s="22">
        <f>IF(F10="Must",3,IF(F10="Should",2,IF(F10="Could",1,0)))</f>
        <v/>
      </c>
      <c r="R10" s="22">
        <f>IF(M10="","",IF(M10="OOTB",5,IF(M10="Konfigurace",3,IF(M10="Custom vývoj",1,IF(OR(M10="3rd party",M10="Nesplněno"),0,"")))))</f>
        <v/>
      </c>
      <c r="S10" s="23" t="n"/>
      <c r="T10" s="22">
        <f>IF(R10="","",IF(OR(P10="CHYBÍ odkaz FS",S10="Ne"),0,R10))</f>
        <v/>
      </c>
      <c r="U10" s="22">
        <f>IF(G10&lt;&gt;"Ano","",IF(M10="","",IF(OR(M10="Nesplněno",M10="3rd party",M10="Neakceptuje",S10="Ne",P10="CHYBÍ odkaz FS"),"FAIL",IF(M10="Akceptuje s výhradou","K VYJASNĚNÍ","PASS"))))</f>
        <v/>
      </c>
      <c r="V10" s="22">
        <f>IF(AND(J10="Byznys (30 %)",G10&lt;&gt;"Ano",ISNUMBER(T10)),T10*Q10,0)</f>
        <v/>
      </c>
      <c r="W10" s="22">
        <f>IF(AND(J10="Byznys (30 %)",G10&lt;&gt;"Ano",F10&lt;&gt;"Won't"),5*Q10,0)</f>
        <v/>
      </c>
      <c r="X10" s="24" t="n"/>
    </row>
    <row r="11">
      <c r="A11" s="18" t="inlineStr">
        <is>
          <t>KYC-006</t>
        </is>
      </c>
      <c r="B11" s="18" t="inlineStr">
        <is>
          <t>KYC</t>
        </is>
      </c>
      <c r="C11" s="19" t="inlineStr">
        <is>
          <t>Načtení údajů o právnické osobě z veřejných rejstříků (ARES, obchodní rejstřík) při onboardingu i při revizi.</t>
        </is>
      </c>
      <c r="D11" s="19" t="inlineStr">
        <is>
          <t>Efektivita procesu</t>
        </is>
      </c>
      <c r="E11" s="18" t="inlineStr">
        <is>
          <t>Obchod</t>
        </is>
      </c>
      <c r="F11" s="18" t="inlineStr">
        <is>
          <t>Should</t>
        </is>
      </c>
      <c r="G11" s="18" t="inlineStr">
        <is>
          <t>Ne</t>
        </is>
      </c>
      <c r="H11" s="19" t="inlineStr">
        <is>
          <t>Po zadání IČO se předvyplní název, sídlo, statutární orgán a datum vzniku.</t>
        </is>
      </c>
      <c r="I11" s="18" t="inlineStr">
        <is>
          <t>5.6</t>
        </is>
      </c>
      <c r="J11" s="18" t="inlineStr">
        <is>
          <t>Byznys (30 %)</t>
        </is>
      </c>
      <c r="K11" s="18" t="inlineStr">
        <is>
          <t>Schváleno</t>
        </is>
      </c>
      <c r="L11" s="19" t="inlineStr"/>
      <c r="M11" s="20" t="n"/>
      <c r="N11" s="21" t="n"/>
      <c r="O11" s="20" t="n"/>
      <c r="P11" s="22">
        <f>IF(M11="","",IF(OR(M11="OOTB",M11="Konfigurace",M11="Custom vývoj"),IF(O11="","CHYBÍ odkaz FS","OK"),"N/A"))</f>
        <v/>
      </c>
      <c r="Q11" s="22">
        <f>IF(F11="Must",3,IF(F11="Should",2,IF(F11="Could",1,0)))</f>
        <v/>
      </c>
      <c r="R11" s="22">
        <f>IF(M11="","",IF(M11="OOTB",5,IF(M11="Konfigurace",3,IF(M11="Custom vývoj",1,IF(OR(M11="3rd party",M11="Nesplněno"),0,"")))))</f>
        <v/>
      </c>
      <c r="S11" s="23" t="n"/>
      <c r="T11" s="22">
        <f>IF(R11="","",IF(OR(P11="CHYBÍ odkaz FS",S11="Ne"),0,R11))</f>
        <v/>
      </c>
      <c r="U11" s="22">
        <f>IF(G11&lt;&gt;"Ano","",IF(M11="","",IF(OR(M11="Nesplněno",M11="3rd party",M11="Neakceptuje",S11="Ne",P11="CHYBÍ odkaz FS"),"FAIL",IF(M11="Akceptuje s výhradou","K VYJASNĚNÍ","PASS"))))</f>
        <v/>
      </c>
      <c r="V11" s="22">
        <f>IF(AND(J11="Byznys (30 %)",G11&lt;&gt;"Ano",ISNUMBER(T11)),T11*Q11,0)</f>
        <v/>
      </c>
      <c r="W11" s="22">
        <f>IF(AND(J11="Byznys (30 %)",G11&lt;&gt;"Ano",F11&lt;&gt;"Won't"),5*Q11,0)</f>
        <v/>
      </c>
      <c r="X11" s="24" t="n"/>
    </row>
    <row r="12">
      <c r="A12" s="18" t="inlineStr">
        <is>
          <t>KYC-007</t>
        </is>
      </c>
      <c r="B12" s="18" t="inlineStr">
        <is>
          <t>KYC</t>
        </is>
      </c>
      <c r="C12" s="19" t="inlineStr">
        <is>
          <t>Příjem výsledku vzdálené identifikace klienta prostřednictvím bankovní identity (BankID) a jeho uložení jako důkazu o identifikaci.</t>
        </is>
      </c>
      <c r="D12" s="19" t="inlineStr">
        <is>
          <t>z. č. 250/2017 Sb.; EBA/GL/2022/15</t>
        </is>
      </c>
      <c r="E12" s="18" t="inlineStr">
        <is>
          <t>Obchod</t>
        </is>
      </c>
      <c r="F12" s="18" t="inlineStr">
        <is>
          <t>Could</t>
        </is>
      </c>
      <c r="G12" s="18" t="inlineStr">
        <is>
          <t>Ne</t>
        </is>
      </c>
      <c r="H12" s="19" t="inlineStr">
        <is>
          <t>Identifikace přes BankID se propíše do KYC záznamu včetně úrovně záruky.</t>
        </is>
      </c>
      <c r="I12" s="18" t="inlineStr">
        <is>
          <t>5.6</t>
        </is>
      </c>
      <c r="J12" s="18" t="inlineStr">
        <is>
          <t>Byznys (30 %)</t>
        </is>
      </c>
      <c r="K12" s="18" t="inlineStr">
        <is>
          <t>Schváleno s úpravou</t>
        </is>
      </c>
      <c r="L12" s="19" t="inlineStr">
        <is>
          <t>Obchod požadoval Must; snížení na Could, privátní klienti se onboardují osobně (rozhodnutí SteerCo 23. 9. 2026).</t>
        </is>
      </c>
      <c r="M12" s="20" t="n"/>
      <c r="N12" s="21" t="n"/>
      <c r="O12" s="20" t="n"/>
      <c r="P12" s="22">
        <f>IF(M12="","",IF(OR(M12="OOTB",M12="Konfigurace",M12="Custom vývoj"),IF(O12="","CHYBÍ odkaz FS","OK"),"N/A"))</f>
        <v/>
      </c>
      <c r="Q12" s="22">
        <f>IF(F12="Must",3,IF(F12="Should",2,IF(F12="Could",1,0)))</f>
        <v/>
      </c>
      <c r="R12" s="22">
        <f>IF(M12="","",IF(M12="OOTB",5,IF(M12="Konfigurace",3,IF(M12="Custom vývoj",1,IF(OR(M12="3rd party",M12="Nesplněno"),0,"")))))</f>
        <v/>
      </c>
      <c r="S12" s="23" t="n"/>
      <c r="T12" s="22">
        <f>IF(R12="","",IF(OR(P12="CHYBÍ odkaz FS",S12="Ne"),0,R12))</f>
        <v/>
      </c>
      <c r="U12" s="22">
        <f>IF(G12&lt;&gt;"Ano","",IF(M12="","",IF(OR(M12="Nesplněno",M12="3rd party",M12="Neakceptuje",S12="Ne",P12="CHYBÍ odkaz FS"),"FAIL",IF(M12="Akceptuje s výhradou","K VYJASNĚNÍ","PASS"))))</f>
        <v/>
      </c>
      <c r="V12" s="22">
        <f>IF(AND(J12="Byznys (30 %)",G12&lt;&gt;"Ano",ISNUMBER(T12)),T12*Q12,0)</f>
        <v/>
      </c>
      <c r="W12" s="22">
        <f>IF(AND(J12="Byznys (30 %)",G12&lt;&gt;"Ano",F12&lt;&gt;"Won't"),5*Q12,0)</f>
        <v/>
      </c>
      <c r="X12" s="24" t="n"/>
    </row>
    <row r="13">
      <c r="A13" s="18" t="inlineStr">
        <is>
          <t>KYC-008</t>
        </is>
      </c>
      <c r="B13" s="18" t="inlineStr">
        <is>
          <t>KYC</t>
        </is>
      </c>
      <c r="C13" s="19" t="inlineStr">
        <is>
          <t>Periodická revize klienta plánovaná podle rizikovosti (vysoké 1 rok, střední 3 roky, nízké 5 let – konfigurovatelné) s automatickým založením úkolu pro obchodníka v CRM.</t>
        </is>
      </c>
      <c r="D13" s="19" t="inlineStr">
        <is>
          <t>§ 9 odst. 1 z. č. 253/2008 Sb.; vnitřní předpis Banky</t>
        </is>
      </c>
      <c r="E13" s="18" t="inlineStr">
        <is>
          <t>Compliance</t>
        </is>
      </c>
      <c r="F13" s="18" t="inlineStr">
        <is>
          <t>Must</t>
        </is>
      </c>
      <c r="G13" s="18" t="inlineStr">
        <is>
          <t>Ne</t>
        </is>
      </c>
      <c r="H13" s="19" t="inlineStr">
        <is>
          <t>60 dní před termínem revize vznikne v CRM úkol přiřazený obchodníkovi klienta.</t>
        </is>
      </c>
      <c r="I13" s="18" t="inlineStr">
        <is>
          <t>6.1</t>
        </is>
      </c>
      <c r="J13" s="18" t="inlineStr">
        <is>
          <t>Byznys (30 %)</t>
        </is>
      </c>
      <c r="K13" s="18" t="inlineStr">
        <is>
          <t>Schváleno</t>
        </is>
      </c>
      <c r="L13" s="19" t="inlineStr"/>
      <c r="M13" s="20" t="n"/>
      <c r="N13" s="21" t="n"/>
      <c r="O13" s="20" t="n"/>
      <c r="P13" s="22">
        <f>IF(M13="","",IF(OR(M13="OOTB",M13="Konfigurace",M13="Custom vývoj"),IF(O13="","CHYBÍ odkaz FS","OK"),"N/A"))</f>
        <v/>
      </c>
      <c r="Q13" s="22">
        <f>IF(F13="Must",3,IF(F13="Should",2,IF(F13="Could",1,0)))</f>
        <v/>
      </c>
      <c r="R13" s="22">
        <f>IF(M13="","",IF(M13="OOTB",5,IF(M13="Konfigurace",3,IF(M13="Custom vývoj",1,IF(OR(M13="3rd party",M13="Nesplněno"),0,"")))))</f>
        <v/>
      </c>
      <c r="S13" s="23" t="n"/>
      <c r="T13" s="22">
        <f>IF(R13="","",IF(OR(P13="CHYBÍ odkaz FS",S13="Ne"),0,R13))</f>
        <v/>
      </c>
      <c r="U13" s="22">
        <f>IF(G13&lt;&gt;"Ano","",IF(M13="","",IF(OR(M13="Nesplněno",M13="3rd party",M13="Neakceptuje",S13="Ne",P13="CHYBÍ odkaz FS"),"FAIL",IF(M13="Akceptuje s výhradou","K VYJASNĚNÍ","PASS"))))</f>
        <v/>
      </c>
      <c r="V13" s="22">
        <f>IF(AND(J13="Byznys (30 %)",G13&lt;&gt;"Ano",ISNUMBER(T13)),T13*Q13,0)</f>
        <v/>
      </c>
      <c r="W13" s="22">
        <f>IF(AND(J13="Byznys (30 %)",G13&lt;&gt;"Ano",F13&lt;&gt;"Won't"),5*Q13,0)</f>
        <v/>
      </c>
      <c r="X13" s="24" t="n"/>
    </row>
    <row r="14">
      <c r="A14" s="18" t="inlineStr">
        <is>
          <t>KYC-009</t>
        </is>
      </c>
      <c r="B14" s="18" t="inlineStr">
        <is>
          <t>KYC</t>
        </is>
      </c>
      <c r="C14" s="19" t="inlineStr">
        <is>
          <t>Událostmi řízená revize: změna rizikově relevantního údaje v CRM (adresa, státní občanství, UBO, předmět podnikání) vyvolá přepočet rizikového profilu a re-screening do 15 minut.</t>
        </is>
      </c>
      <c r="D14" s="19" t="inlineStr">
        <is>
          <t>§ 9 z. č. 253/2008 Sb.</t>
        </is>
      </c>
      <c r="E14" s="18" t="inlineStr">
        <is>
          <t>Compliance</t>
        </is>
      </c>
      <c r="F14" s="18" t="inlineStr">
        <is>
          <t>Must</t>
        </is>
      </c>
      <c r="G14" s="18" t="inlineStr">
        <is>
          <t>Ne</t>
        </is>
      </c>
      <c r="H14" s="19" t="inlineStr">
        <is>
          <t>Změna státního občanství na zemi z vysoce rizikového seznamu zvýší rizikovost do 15 minut a vytvoří případ.</t>
        </is>
      </c>
      <c r="I14" s="18" t="inlineStr">
        <is>
          <t>5.1</t>
        </is>
      </c>
      <c r="J14" s="18" t="inlineStr">
        <is>
          <t>Byznys (30 %)</t>
        </is>
      </c>
      <c r="K14" s="18" t="inlineStr">
        <is>
          <t>Schváleno</t>
        </is>
      </c>
      <c r="L14" s="19" t="inlineStr"/>
      <c r="M14" s="20" t="n"/>
      <c r="N14" s="21" t="n"/>
      <c r="O14" s="20" t="n"/>
      <c r="P14" s="22">
        <f>IF(M14="","",IF(OR(M14="OOTB",M14="Konfigurace",M14="Custom vývoj"),IF(O14="","CHYBÍ odkaz FS","OK"),"N/A"))</f>
        <v/>
      </c>
      <c r="Q14" s="22">
        <f>IF(F14="Must",3,IF(F14="Should",2,IF(F14="Could",1,0)))</f>
        <v/>
      </c>
      <c r="R14" s="22">
        <f>IF(M14="","",IF(M14="OOTB",5,IF(M14="Konfigurace",3,IF(M14="Custom vývoj",1,IF(OR(M14="3rd party",M14="Nesplněno"),0,"")))))</f>
        <v/>
      </c>
      <c r="S14" s="23" t="n"/>
      <c r="T14" s="22">
        <f>IF(R14="","",IF(OR(P14="CHYBÍ odkaz FS",S14="Ne"),0,R14))</f>
        <v/>
      </c>
      <c r="U14" s="22">
        <f>IF(G14&lt;&gt;"Ano","",IF(M14="","",IF(OR(M14="Nesplněno",M14="3rd party",M14="Neakceptuje",S14="Ne",P14="CHYBÍ odkaz FS"),"FAIL",IF(M14="Akceptuje s výhradou","K VYJASNĚNÍ","PASS"))))</f>
        <v/>
      </c>
      <c r="V14" s="22">
        <f>IF(AND(J14="Byznys (30 %)",G14&lt;&gt;"Ano",ISNUMBER(T14)),T14*Q14,0)</f>
        <v/>
      </c>
      <c r="W14" s="22">
        <f>IF(AND(J14="Byznys (30 %)",G14&lt;&gt;"Ano",F14&lt;&gt;"Won't"),5*Q14,0)</f>
        <v/>
      </c>
      <c r="X14" s="24" t="n"/>
    </row>
    <row r="15">
      <c r="A15" s="18" t="inlineStr">
        <is>
          <t>KYC-010</t>
        </is>
      </c>
      <c r="B15" s="18" t="inlineStr">
        <is>
          <t>KYC</t>
        </is>
      </c>
      <c r="C15" s="19" t="inlineStr">
        <is>
          <t>Strukturovaný dotazník ke zdroji majetku (SoW) a zdroji finančních prostředků (SoF) s možností přiložit doklady, s verzováním odpovědí a vyhodnocením věrohodnosti.</t>
        </is>
      </c>
      <c r="D15" s="19" t="inlineStr">
        <is>
          <t>§ 9 odst. 2 písm. c) a § 9a z. č. 253/2008 Sb.</t>
        </is>
      </c>
      <c r="E15" s="18" t="inlineStr">
        <is>
          <t>Obchod</t>
        </is>
      </c>
      <c r="F15" s="18" t="inlineStr">
        <is>
          <t>Must</t>
        </is>
      </c>
      <c r="G15" s="18" t="inlineStr">
        <is>
          <t>Ne</t>
        </is>
      </c>
      <c r="H15" s="19" t="inlineStr">
        <is>
          <t>Obchodník vyplní SoW/SoF v CRM, doklady se uloží do DMS a každá změna je dohledatelná.</t>
        </is>
      </c>
      <c r="I15" s="18" t="inlineStr">
        <is>
          <t>6.1</t>
        </is>
      </c>
      <c r="J15" s="18" t="inlineStr">
        <is>
          <t>Byznys (30 %)</t>
        </is>
      </c>
      <c r="K15" s="18" t="inlineStr">
        <is>
          <t>Schváleno</t>
        </is>
      </c>
      <c r="L15" s="19" t="inlineStr">
        <is>
          <t>Klíčové pro privátní bankovnictví.</t>
        </is>
      </c>
      <c r="M15" s="20" t="n"/>
      <c r="N15" s="21" t="n"/>
      <c r="O15" s="20" t="n"/>
      <c r="P15" s="22">
        <f>IF(M15="","",IF(OR(M15="OOTB",M15="Konfigurace",M15="Custom vývoj"),IF(O15="","CHYBÍ odkaz FS","OK"),"N/A"))</f>
        <v/>
      </c>
      <c r="Q15" s="22">
        <f>IF(F15="Must",3,IF(F15="Should",2,IF(F15="Could",1,0)))</f>
        <v/>
      </c>
      <c r="R15" s="22">
        <f>IF(M15="","",IF(M15="OOTB",5,IF(M15="Konfigurace",3,IF(M15="Custom vývoj",1,IF(OR(M15="3rd party",M15="Nesplněno"),0,"")))))</f>
        <v/>
      </c>
      <c r="S15" s="23" t="n"/>
      <c r="T15" s="22">
        <f>IF(R15="","",IF(OR(P15="CHYBÍ odkaz FS",S15="Ne"),0,R15))</f>
        <v/>
      </c>
      <c r="U15" s="22">
        <f>IF(G15&lt;&gt;"Ano","",IF(M15="","",IF(OR(M15="Nesplněno",M15="3rd party",M15="Neakceptuje",S15="Ne",P15="CHYBÍ odkaz FS"),"FAIL",IF(M15="Akceptuje s výhradou","K VYJASNĚNÍ","PASS"))))</f>
        <v/>
      </c>
      <c r="V15" s="22">
        <f>IF(AND(J15="Byznys (30 %)",G15&lt;&gt;"Ano",ISNUMBER(T15)),T15*Q15,0)</f>
        <v/>
      </c>
      <c r="W15" s="22">
        <f>IF(AND(J15="Byznys (30 %)",G15&lt;&gt;"Ano",F15&lt;&gt;"Won't"),5*Q15,0)</f>
        <v/>
      </c>
      <c r="X15" s="24" t="n"/>
    </row>
    <row r="16">
      <c r="A16" s="18" t="inlineStr">
        <is>
          <t>KYC-011</t>
        </is>
      </c>
      <c r="B16" s="18" t="inlineStr">
        <is>
          <t>KYC</t>
        </is>
      </c>
      <c r="C16" s="19" t="inlineStr">
        <is>
          <t>Obchodník vidí stav KYC, rizikovost, termín revize a otevřené případy klienta přímo v CRM bez přepnutí do jiné aplikace (embedded komponenta nebo API).</t>
        </is>
      </c>
      <c r="D16" s="19" t="inlineStr">
        <is>
          <t>Případová studie: CRM je core aplikace</t>
        </is>
      </c>
      <c r="E16" s="18" t="inlineStr">
        <is>
          <t>Obchod</t>
        </is>
      </c>
      <c r="F16" s="18" t="inlineStr">
        <is>
          <t>Must</t>
        </is>
      </c>
      <c r="G16" s="18" t="inlineStr">
        <is>
          <t>Ne</t>
        </is>
      </c>
      <c r="H16" s="19" t="inlineStr">
        <is>
          <t>Na kartě klienta v CRM se zobrazí stav KYC do 2 s.</t>
        </is>
      </c>
      <c r="I16" s="18" t="inlineStr">
        <is>
          <t>5.1</t>
        </is>
      </c>
      <c r="J16" s="18" t="inlineStr">
        <is>
          <t>Byznys (30 %)</t>
        </is>
      </c>
      <c r="K16" s="18" t="inlineStr">
        <is>
          <t>Schváleno</t>
        </is>
      </c>
      <c r="L16" s="19" t="inlineStr"/>
      <c r="M16" s="20" t="n"/>
      <c r="N16" s="21" t="n"/>
      <c r="O16" s="20" t="n"/>
      <c r="P16" s="22">
        <f>IF(M16="","",IF(OR(M16="OOTB",M16="Konfigurace",M16="Custom vývoj"),IF(O16="","CHYBÍ odkaz FS","OK"),"N/A"))</f>
        <v/>
      </c>
      <c r="Q16" s="22">
        <f>IF(F16="Must",3,IF(F16="Should",2,IF(F16="Could",1,0)))</f>
        <v/>
      </c>
      <c r="R16" s="22">
        <f>IF(M16="","",IF(M16="OOTB",5,IF(M16="Konfigurace",3,IF(M16="Custom vývoj",1,IF(OR(M16="3rd party",M16="Nesplněno"),0,"")))))</f>
        <v/>
      </c>
      <c r="S16" s="23" t="n"/>
      <c r="T16" s="22">
        <f>IF(R16="","",IF(OR(P16="CHYBÍ odkaz FS",S16="Ne"),0,R16))</f>
        <v/>
      </c>
      <c r="U16" s="22">
        <f>IF(G16&lt;&gt;"Ano","",IF(M16="","",IF(OR(M16="Nesplněno",M16="3rd party",M16="Neakceptuje",S16="Ne",P16="CHYBÍ odkaz FS"),"FAIL",IF(M16="Akceptuje s výhradou","K VYJASNĚNÍ","PASS"))))</f>
        <v/>
      </c>
      <c r="V16" s="22">
        <f>IF(AND(J16="Byznys (30 %)",G16&lt;&gt;"Ano",ISNUMBER(T16)),T16*Q16,0)</f>
        <v/>
      </c>
      <c r="W16" s="22">
        <f>IF(AND(J16="Byznys (30 %)",G16&lt;&gt;"Ano",F16&lt;&gt;"Won't"),5*Q16,0)</f>
        <v/>
      </c>
      <c r="X16" s="24" t="n"/>
    </row>
    <row r="17">
      <c r="A17" s="18" t="inlineStr">
        <is>
          <t>KYC-012</t>
        </is>
      </c>
      <c r="B17" s="18" t="inlineStr">
        <is>
          <t>KYC</t>
        </is>
      </c>
      <c r="C17" s="19" t="inlineStr">
        <is>
          <t>Formuláře KYC se předvyplní z dat CRM; obchodník nezadává žádný údaj dvakrát.</t>
        </is>
      </c>
      <c r="D17" s="19" t="inlineStr">
        <is>
          <t>Efektivita procesu</t>
        </is>
      </c>
      <c r="E17" s="18" t="inlineStr">
        <is>
          <t>Obchod</t>
        </is>
      </c>
      <c r="F17" s="18" t="inlineStr">
        <is>
          <t>Should</t>
        </is>
      </c>
      <c r="G17" s="18" t="inlineStr">
        <is>
          <t>Ne</t>
        </is>
      </c>
      <c r="H17" s="19" t="inlineStr">
        <is>
          <t>Při revizi existujícího klienta jsou předvyplněny všechny údaje evidované v CRM.</t>
        </is>
      </c>
      <c r="I17" s="18" t="inlineStr">
        <is>
          <t>5.1</t>
        </is>
      </c>
      <c r="J17" s="18" t="inlineStr">
        <is>
          <t>Byznys (30 %)</t>
        </is>
      </c>
      <c r="K17" s="18" t="inlineStr">
        <is>
          <t>Schváleno</t>
        </is>
      </c>
      <c r="L17" s="19" t="inlineStr"/>
      <c r="M17" s="20" t="n"/>
      <c r="N17" s="21" t="n"/>
      <c r="O17" s="20" t="n"/>
      <c r="P17" s="22">
        <f>IF(M17="","",IF(OR(M17="OOTB",M17="Konfigurace",M17="Custom vývoj"),IF(O17="","CHYBÍ odkaz FS","OK"),"N/A"))</f>
        <v/>
      </c>
      <c r="Q17" s="22">
        <f>IF(F17="Must",3,IF(F17="Should",2,IF(F17="Could",1,0)))</f>
        <v/>
      </c>
      <c r="R17" s="22">
        <f>IF(M17="","",IF(M17="OOTB",5,IF(M17="Konfigurace",3,IF(M17="Custom vývoj",1,IF(OR(M17="3rd party",M17="Nesplněno"),0,"")))))</f>
        <v/>
      </c>
      <c r="S17" s="23" t="n"/>
      <c r="T17" s="22">
        <f>IF(R17="","",IF(OR(P17="CHYBÍ odkaz FS",S17="Ne"),0,R17))</f>
        <v/>
      </c>
      <c r="U17" s="22">
        <f>IF(G17&lt;&gt;"Ano","",IF(M17="","",IF(OR(M17="Nesplněno",M17="3rd party",M17="Neakceptuje",S17="Ne",P17="CHYBÍ odkaz FS"),"FAIL",IF(M17="Akceptuje s výhradou","K VYJASNĚNÍ","PASS"))))</f>
        <v/>
      </c>
      <c r="V17" s="22">
        <f>IF(AND(J17="Byznys (30 %)",G17&lt;&gt;"Ano",ISNUMBER(T17)),T17*Q17,0)</f>
        <v/>
      </c>
      <c r="W17" s="22">
        <f>IF(AND(J17="Byznys (30 %)",G17&lt;&gt;"Ano",F17&lt;&gt;"Won't"),5*Q17,0)</f>
        <v/>
      </c>
      <c r="X17" s="24" t="n"/>
    </row>
    <row r="18">
      <c r="A18" s="18" t="inlineStr">
        <is>
          <t>KYC-013</t>
        </is>
      </c>
      <c r="B18" s="18" t="inlineStr">
        <is>
          <t>KYC</t>
        </is>
      </c>
      <c r="C18" s="19" t="inlineStr">
        <is>
          <t>Klientské formuláře a dotazníky v češtině, angličtině a němčině; další jazyk lze doplnit konfigurací.</t>
        </is>
      </c>
      <c r="D18" s="19" t="inlineStr">
        <is>
          <t>Klientská báze Banky</t>
        </is>
      </c>
      <c r="E18" s="18" t="inlineStr">
        <is>
          <t>Obchod</t>
        </is>
      </c>
      <c r="F18" s="18" t="inlineStr">
        <is>
          <t>Should</t>
        </is>
      </c>
      <c r="G18" s="18" t="inlineStr">
        <is>
          <t>Ne</t>
        </is>
      </c>
      <c r="H18" s="19" t="inlineStr">
        <is>
          <t>Administrátor přidá jazykovou mutaci formuláře bez vývoje.</t>
        </is>
      </c>
      <c r="I18" s="18" t="inlineStr">
        <is>
          <t>6.1</t>
        </is>
      </c>
      <c r="J18" s="18" t="inlineStr">
        <is>
          <t>Byznys (30 %)</t>
        </is>
      </c>
      <c r="K18" s="18" t="inlineStr">
        <is>
          <t>Schváleno</t>
        </is>
      </c>
      <c r="L18" s="19" t="inlineStr"/>
      <c r="M18" s="20" t="n"/>
      <c r="N18" s="21" t="n"/>
      <c r="O18" s="20" t="n"/>
      <c r="P18" s="22">
        <f>IF(M18="","",IF(OR(M18="OOTB",M18="Konfigurace",M18="Custom vývoj"),IF(O18="","CHYBÍ odkaz FS","OK"),"N/A"))</f>
        <v/>
      </c>
      <c r="Q18" s="22">
        <f>IF(F18="Must",3,IF(F18="Should",2,IF(F18="Could",1,0)))</f>
        <v/>
      </c>
      <c r="R18" s="22">
        <f>IF(M18="","",IF(M18="OOTB",5,IF(M18="Konfigurace",3,IF(M18="Custom vývoj",1,IF(OR(M18="3rd party",M18="Nesplněno"),0,"")))))</f>
        <v/>
      </c>
      <c r="S18" s="23" t="n"/>
      <c r="T18" s="22">
        <f>IF(R18="","",IF(OR(P18="CHYBÍ odkaz FS",S18="Ne"),0,R18))</f>
        <v/>
      </c>
      <c r="U18" s="22">
        <f>IF(G18&lt;&gt;"Ano","",IF(M18="","",IF(OR(M18="Nesplněno",M18="3rd party",M18="Neakceptuje",S18="Ne",P18="CHYBÍ odkaz FS"),"FAIL",IF(M18="Akceptuje s výhradou","K VYJASNĚNÍ","PASS"))))</f>
        <v/>
      </c>
      <c r="V18" s="22">
        <f>IF(AND(J18="Byznys (30 %)",G18&lt;&gt;"Ano",ISNUMBER(T18)),T18*Q18,0)</f>
        <v/>
      </c>
      <c r="W18" s="22">
        <f>IF(AND(J18="Byznys (30 %)",G18&lt;&gt;"Ano",F18&lt;&gt;"Won't"),5*Q18,0)</f>
        <v/>
      </c>
      <c r="X18" s="24" t="n"/>
    </row>
    <row r="19">
      <c r="A19" s="18" t="inlineStr">
        <is>
          <t>KYC-014</t>
        </is>
      </c>
      <c r="B19" s="18" t="inlineStr">
        <is>
          <t>KYC</t>
        </is>
      </c>
      <c r="C19" s="19" t="inlineStr">
        <is>
          <t>Eskalace nesplněné revize: po termínu upozornění obchodníkovi, po 30 dnech jeho nadřízenému a Compliance, po 90 dnech návrh na omezení služeb.</t>
        </is>
      </c>
      <c r="D19" s="19" t="inlineStr">
        <is>
          <t>Vnitřní předpis Banky</t>
        </is>
      </c>
      <c r="E19" s="18" t="inlineStr">
        <is>
          <t>Compliance</t>
        </is>
      </c>
      <c r="F19" s="18" t="inlineStr">
        <is>
          <t>Should</t>
        </is>
      </c>
      <c r="G19" s="18" t="inlineStr">
        <is>
          <t>Ne</t>
        </is>
      </c>
      <c r="H19" s="19" t="inlineStr">
        <is>
          <t>Eskalační kroky a lhůty jsou konfigurovatelné a jejich provedení je zaznamenáno.</t>
        </is>
      </c>
      <c r="I19" s="18" t="inlineStr">
        <is>
          <t>6.1</t>
        </is>
      </c>
      <c r="J19" s="18" t="inlineStr">
        <is>
          <t>Byznys (30 %)</t>
        </is>
      </c>
      <c r="K19" s="18" t="inlineStr">
        <is>
          <t>Schváleno</t>
        </is>
      </c>
      <c r="L19" s="19" t="inlineStr"/>
      <c r="M19" s="20" t="n"/>
      <c r="N19" s="21" t="n"/>
      <c r="O19" s="20" t="n"/>
      <c r="P19" s="22">
        <f>IF(M19="","",IF(OR(M19="OOTB",M19="Konfigurace",M19="Custom vývoj"),IF(O19="","CHYBÍ odkaz FS","OK"),"N/A"))</f>
        <v/>
      </c>
      <c r="Q19" s="22">
        <f>IF(F19="Must",3,IF(F19="Should",2,IF(F19="Could",1,0)))</f>
        <v/>
      </c>
      <c r="R19" s="22">
        <f>IF(M19="","",IF(M19="OOTB",5,IF(M19="Konfigurace",3,IF(M19="Custom vývoj",1,IF(OR(M19="3rd party",M19="Nesplněno"),0,"")))))</f>
        <v/>
      </c>
      <c r="S19" s="23" t="n"/>
      <c r="T19" s="22">
        <f>IF(R19="","",IF(OR(P19="CHYBÍ odkaz FS",S19="Ne"),0,R19))</f>
        <v/>
      </c>
      <c r="U19" s="22">
        <f>IF(G19&lt;&gt;"Ano","",IF(M19="","",IF(OR(M19="Nesplněno",M19="3rd party",M19="Neakceptuje",S19="Ne",P19="CHYBÍ odkaz FS"),"FAIL",IF(M19="Akceptuje s výhradou","K VYJASNĚNÍ","PASS"))))</f>
        <v/>
      </c>
      <c r="V19" s="22">
        <f>IF(AND(J19="Byznys (30 %)",G19&lt;&gt;"Ano",ISNUMBER(T19)),T19*Q19,0)</f>
        <v/>
      </c>
      <c r="W19" s="22">
        <f>IF(AND(J19="Byznys (30 %)",G19&lt;&gt;"Ano",F19&lt;&gt;"Won't"),5*Q19,0)</f>
        <v/>
      </c>
      <c r="X19" s="24" t="n"/>
    </row>
    <row r="20">
      <c r="A20" s="18" t="inlineStr">
        <is>
          <t>KYC-015</t>
        </is>
      </c>
      <c r="B20" s="18" t="inlineStr">
        <is>
          <t>KYC</t>
        </is>
      </c>
      <c r="C20" s="19" t="inlineStr">
        <is>
          <t>Podpora zjednodušené kontroly klienta (SDD) pro definované kategorie klientů s nízkým rizikem.</t>
        </is>
      </c>
      <c r="D20" s="19" t="inlineStr">
        <is>
          <t>§ 13 z. č. 253/2008 Sb.</t>
        </is>
      </c>
      <c r="E20" s="18" t="inlineStr">
        <is>
          <t>Compliance</t>
        </is>
      </c>
      <c r="F20" s="18" t="inlineStr">
        <is>
          <t>Could</t>
        </is>
      </c>
      <c r="G20" s="18" t="inlineStr">
        <is>
          <t>Ne</t>
        </is>
      </c>
      <c r="H20" s="19" t="inlineStr">
        <is>
          <t>Pro klienta kategorie SDD systém nevyžaduje kroky, které zákon u SDD nevyžaduje.</t>
        </is>
      </c>
      <c r="I20" s="18" t="inlineStr">
        <is>
          <t>6.1</t>
        </is>
      </c>
      <c r="J20" s="18" t="inlineStr">
        <is>
          <t>Byznys (30 %)</t>
        </is>
      </c>
      <c r="K20" s="18" t="inlineStr">
        <is>
          <t>Schváleno</t>
        </is>
      </c>
      <c r="L20" s="19" t="inlineStr"/>
      <c r="M20" s="20" t="n"/>
      <c r="N20" s="21" t="n"/>
      <c r="O20" s="20" t="n"/>
      <c r="P20" s="22">
        <f>IF(M20="","",IF(OR(M20="OOTB",M20="Konfigurace",M20="Custom vývoj"),IF(O20="","CHYBÍ odkaz FS","OK"),"N/A"))</f>
        <v/>
      </c>
      <c r="Q20" s="22">
        <f>IF(F20="Must",3,IF(F20="Should",2,IF(F20="Could",1,0)))</f>
        <v/>
      </c>
      <c r="R20" s="22">
        <f>IF(M20="","",IF(M20="OOTB",5,IF(M20="Konfigurace",3,IF(M20="Custom vývoj",1,IF(OR(M20="3rd party",M20="Nesplněno"),0,"")))))</f>
        <v/>
      </c>
      <c r="S20" s="23" t="n"/>
      <c r="T20" s="22">
        <f>IF(R20="","",IF(OR(P20="CHYBÍ odkaz FS",S20="Ne"),0,R20))</f>
        <v/>
      </c>
      <c r="U20" s="22">
        <f>IF(G20&lt;&gt;"Ano","",IF(M20="","",IF(OR(M20="Nesplněno",M20="3rd party",M20="Neakceptuje",S20="Ne",P20="CHYBÍ odkaz FS"),"FAIL",IF(M20="Akceptuje s výhradou","K VYJASNĚNÍ","PASS"))))</f>
        <v/>
      </c>
      <c r="V20" s="22">
        <f>IF(AND(J20="Byznys (30 %)",G20&lt;&gt;"Ano",ISNUMBER(T20)),T20*Q20,0)</f>
        <v/>
      </c>
      <c r="W20" s="22">
        <f>IF(AND(J20="Byznys (30 %)",G20&lt;&gt;"Ano",F20&lt;&gt;"Won't"),5*Q20,0)</f>
        <v/>
      </c>
      <c r="X20" s="24" t="n"/>
    </row>
    <row r="21">
      <c r="A21" s="18" t="inlineStr">
        <is>
          <t>SCR-001</t>
        </is>
      </c>
      <c r="B21" s="18" t="inlineStr">
        <is>
          <t>SCR</t>
        </is>
      </c>
      <c r="C21" s="19" t="inlineStr">
        <is>
          <t>Screening klientů, zástupců, skutečných majitelů a protistran proti sankčním seznamům EU (konsolidovaný seznam), OSN, národnímu sankčnímu seznamu ČR a volitelně OFAC a UK HMT.</t>
        </is>
      </c>
      <c r="D21" s="19" t="inlineStr">
        <is>
          <t>z. č. 69/2006 Sb.; z. č. 1/2023 Sb.; sankční nařízení EU</t>
        </is>
      </c>
      <c r="E21" s="18" t="inlineStr">
        <is>
          <t>Compliance</t>
        </is>
      </c>
      <c r="F21" s="18" t="inlineStr">
        <is>
          <t>Must</t>
        </is>
      </c>
      <c r="G21" s="25" t="inlineStr">
        <is>
          <t>Ano</t>
        </is>
      </c>
      <c r="H21" s="19" t="inlineStr">
        <is>
          <t>Testovací subjekty ze všech uvedených seznamů jsou zachyceny ve skriptovaném demu.</t>
        </is>
      </c>
      <c r="I21" s="18" t="inlineStr">
        <is>
          <t>6.2</t>
        </is>
      </c>
      <c r="J21" s="18" t="inlineStr">
        <is>
          <t>K.O. (Pass/Fail)</t>
        </is>
      </c>
      <c r="K21" s="18" t="inlineStr">
        <is>
          <t>Schváleno</t>
        </is>
      </c>
      <c r="L21" s="19" t="inlineStr"/>
      <c r="M21" s="20" t="n"/>
      <c r="N21" s="21" t="n"/>
      <c r="O21" s="20" t="n"/>
      <c r="P21" s="22">
        <f>IF(M21="","",IF(OR(M21="OOTB",M21="Konfigurace",M21="Custom vývoj"),IF(O21="","CHYBÍ odkaz FS","OK"),"N/A"))</f>
        <v/>
      </c>
      <c r="Q21" s="22">
        <f>IF(F21="Must",3,IF(F21="Should",2,IF(F21="Could",1,0)))</f>
        <v/>
      </c>
      <c r="R21" s="22">
        <f>IF(M21="","",IF(M21="OOTB",5,IF(M21="Konfigurace",3,IF(M21="Custom vývoj",1,IF(OR(M21="3rd party",M21="Nesplněno"),0,"")))))</f>
        <v/>
      </c>
      <c r="S21" s="23" t="n"/>
      <c r="T21" s="22">
        <f>IF(R21="","",IF(OR(P21="CHYBÍ odkaz FS",S21="Ne"),0,R21))</f>
        <v/>
      </c>
      <c r="U21" s="22">
        <f>IF(G21&lt;&gt;"Ano","",IF(M21="","",IF(OR(M21="Nesplněno",M21="3rd party",M21="Neakceptuje",S21="Ne",P21="CHYBÍ odkaz FS"),"FAIL",IF(M21="Akceptuje s výhradou","K VYJASNĚNÍ","PASS"))))</f>
        <v/>
      </c>
      <c r="V21" s="22">
        <f>IF(AND(J21="Byznys (30 %)",G21&lt;&gt;"Ano",ISNUMBER(T21)),T21*Q21,0)</f>
        <v/>
      </c>
      <c r="W21" s="22">
        <f>IF(AND(J21="Byznys (30 %)",G21&lt;&gt;"Ano",F21&lt;&gt;"Won't"),5*Q21,0)</f>
        <v/>
      </c>
      <c r="X21" s="24" t="n"/>
    </row>
    <row r="22">
      <c r="A22" s="18" t="inlineStr">
        <is>
          <t>SCR-002</t>
        </is>
      </c>
      <c r="B22" s="18" t="inlineStr">
        <is>
          <t>SCR</t>
        </is>
      </c>
      <c r="C22" s="19" t="inlineStr">
        <is>
          <t>Screening politicky exponovaných osob (PEP) včetně rodinných příslušníků a osob blízkých (RCA), s rozlišením domácích a zahraničních PEP.</t>
        </is>
      </c>
      <c r="D22" s="19" t="inlineStr">
        <is>
          <t>§ 4 odst. 5 a § 9a z. č. 253/2008 Sb.</t>
        </is>
      </c>
      <c r="E22" s="18" t="inlineStr">
        <is>
          <t>Compliance</t>
        </is>
      </c>
      <c r="F22" s="18" t="inlineStr">
        <is>
          <t>Must</t>
        </is>
      </c>
      <c r="G22" s="18" t="inlineStr">
        <is>
          <t>Ne</t>
        </is>
      </c>
      <c r="H22" s="19" t="inlineStr">
        <is>
          <t>Shoda na PEP vytvoří případ s kategorií PEP a vazbou na EDD workflow.</t>
        </is>
      </c>
      <c r="I22" s="18" t="inlineStr">
        <is>
          <t>6.2</t>
        </is>
      </c>
      <c r="J22" s="18" t="inlineStr">
        <is>
          <t>Byznys (30 %)</t>
        </is>
      </c>
      <c r="K22" s="18" t="inlineStr">
        <is>
          <t>Schváleno</t>
        </is>
      </c>
      <c r="L22" s="19" t="inlineStr"/>
      <c r="M22" s="20" t="n"/>
      <c r="N22" s="21" t="n"/>
      <c r="O22" s="20" t="n"/>
      <c r="P22" s="22">
        <f>IF(M22="","",IF(OR(M22="OOTB",M22="Konfigurace",M22="Custom vývoj"),IF(O22="","CHYBÍ odkaz FS","OK"),"N/A"))</f>
        <v/>
      </c>
      <c r="Q22" s="22">
        <f>IF(F22="Must",3,IF(F22="Should",2,IF(F22="Could",1,0)))</f>
        <v/>
      </c>
      <c r="R22" s="22">
        <f>IF(M22="","",IF(M22="OOTB",5,IF(M22="Konfigurace",3,IF(M22="Custom vývoj",1,IF(OR(M22="3rd party",M22="Nesplněno"),0,"")))))</f>
        <v/>
      </c>
      <c r="S22" s="23" t="n"/>
      <c r="T22" s="22">
        <f>IF(R22="","",IF(OR(P22="CHYBÍ odkaz FS",S22="Ne"),0,R22))</f>
        <v/>
      </c>
      <c r="U22" s="22">
        <f>IF(G22&lt;&gt;"Ano","",IF(M22="","",IF(OR(M22="Nesplněno",M22="3rd party",M22="Neakceptuje",S22="Ne",P22="CHYBÍ odkaz FS"),"FAIL",IF(M22="Akceptuje s výhradou","K VYJASNĚNÍ","PASS"))))</f>
        <v/>
      </c>
      <c r="V22" s="22">
        <f>IF(AND(J22="Byznys (30 %)",G22&lt;&gt;"Ano",ISNUMBER(T22)),T22*Q22,0)</f>
        <v/>
      </c>
      <c r="W22" s="22">
        <f>IF(AND(J22="Byznys (30 %)",G22&lt;&gt;"Ano",F22&lt;&gt;"Won't"),5*Q22,0)</f>
        <v/>
      </c>
      <c r="X22" s="24" t="n"/>
    </row>
    <row r="23">
      <c r="A23" s="18" t="inlineStr">
        <is>
          <t>SCR-003</t>
        </is>
      </c>
      <c r="B23" s="18" t="inlineStr">
        <is>
          <t>SCR</t>
        </is>
      </c>
      <c r="C23" s="19" t="inlineStr">
        <is>
          <t>Screening negativních zpráv (adverse media) s konfigurovatelnými kategoriemi (finanční kriminalita, korupce, organizovaný zločin, daňové delikty).</t>
        </is>
      </c>
      <c r="D23" s="19" t="inlineStr">
        <is>
          <t>EBA/GL/2021/02</t>
        </is>
      </c>
      <c r="E23" s="18" t="inlineStr">
        <is>
          <t>Compliance</t>
        </is>
      </c>
      <c r="F23" s="18" t="inlineStr">
        <is>
          <t>Should</t>
        </is>
      </c>
      <c r="G23" s="18" t="inlineStr">
        <is>
          <t>Ne</t>
        </is>
      </c>
      <c r="H23" s="19" t="inlineStr">
        <is>
          <t>Compliance zapne/vypne kategorie a nastaví stáří zpráv bez vývoje.</t>
        </is>
      </c>
      <c r="I23" s="18" t="inlineStr">
        <is>
          <t>6.2</t>
        </is>
      </c>
      <c r="J23" s="18" t="inlineStr">
        <is>
          <t>Byznys (30 %)</t>
        </is>
      </c>
      <c r="K23" s="18" t="inlineStr">
        <is>
          <t>Schváleno</t>
        </is>
      </c>
      <c r="L23" s="19" t="inlineStr"/>
      <c r="M23" s="20" t="n"/>
      <c r="N23" s="21" t="n"/>
      <c r="O23" s="20" t="n"/>
      <c r="P23" s="22">
        <f>IF(M23="","",IF(OR(M23="OOTB",M23="Konfigurace",M23="Custom vývoj"),IF(O23="","CHYBÍ odkaz FS","OK"),"N/A"))</f>
        <v/>
      </c>
      <c r="Q23" s="22">
        <f>IF(F23="Must",3,IF(F23="Should",2,IF(F23="Could",1,0)))</f>
        <v/>
      </c>
      <c r="R23" s="22">
        <f>IF(M23="","",IF(M23="OOTB",5,IF(M23="Konfigurace",3,IF(M23="Custom vývoj",1,IF(OR(M23="3rd party",M23="Nesplněno"),0,"")))))</f>
        <v/>
      </c>
      <c r="S23" s="23" t="n"/>
      <c r="T23" s="22">
        <f>IF(R23="","",IF(OR(P23="CHYBÍ odkaz FS",S23="Ne"),0,R23))</f>
        <v/>
      </c>
      <c r="U23" s="22">
        <f>IF(G23&lt;&gt;"Ano","",IF(M23="","",IF(OR(M23="Nesplněno",M23="3rd party",M23="Neakceptuje",S23="Ne",P23="CHYBÍ odkaz FS"),"FAIL",IF(M23="Akceptuje s výhradou","K VYJASNĚNÍ","PASS"))))</f>
        <v/>
      </c>
      <c r="V23" s="22">
        <f>IF(AND(J23="Byznys (30 %)",G23&lt;&gt;"Ano",ISNUMBER(T23)),T23*Q23,0)</f>
        <v/>
      </c>
      <c r="W23" s="22">
        <f>IF(AND(J23="Byznys (30 %)",G23&lt;&gt;"Ano",F23&lt;&gt;"Won't"),5*Q23,0)</f>
        <v/>
      </c>
      <c r="X23" s="24" t="n"/>
    </row>
    <row r="24">
      <c r="A24" s="18" t="inlineStr">
        <is>
          <t>SCR-004</t>
        </is>
      </c>
      <c r="B24" s="18" t="inlineStr">
        <is>
          <t>SCR</t>
        </is>
      </c>
      <c r="C24" s="19" t="inlineStr">
        <is>
          <t>Denní re-screening celé klientské báze a mimořádný re-screening do 1 hodiny od zveřejnění změny sankčního seznamu EU.</t>
        </is>
      </c>
      <c r="D24" s="19" t="inlineStr">
        <is>
          <t>čl. 5d nařízení (EU) č. 260/2012 ve znění nařízení (EU) 2024/886; z. č. 69/2006 Sb.</t>
        </is>
      </c>
      <c r="E24" s="18" t="inlineStr">
        <is>
          <t>Compliance</t>
        </is>
      </c>
      <c r="F24" s="18" t="inlineStr">
        <is>
          <t>Must</t>
        </is>
      </c>
      <c r="G24" s="18" t="inlineStr">
        <is>
          <t>Ne</t>
        </is>
      </c>
      <c r="H24" s="19" t="inlineStr">
        <is>
          <t>Nová designace na seznamu EU vytvoří případ u dotčeného klienta do 1 hodiny od načtení seznamu.</t>
        </is>
      </c>
      <c r="I24" s="18" t="inlineStr">
        <is>
          <t>6.2</t>
        </is>
      </c>
      <c r="J24" s="18" t="inlineStr">
        <is>
          <t>Byznys (30 %)</t>
        </is>
      </c>
      <c r="K24" s="18" t="inlineStr">
        <is>
          <t>Schváleno</t>
        </is>
      </c>
      <c r="L24" s="19" t="inlineStr"/>
      <c r="M24" s="20" t="n"/>
      <c r="N24" s="21" t="n"/>
      <c r="O24" s="20" t="n"/>
      <c r="P24" s="22">
        <f>IF(M24="","",IF(OR(M24="OOTB",M24="Konfigurace",M24="Custom vývoj"),IF(O24="","CHYBÍ odkaz FS","OK"),"N/A"))</f>
        <v/>
      </c>
      <c r="Q24" s="22">
        <f>IF(F24="Must",3,IF(F24="Should",2,IF(F24="Could",1,0)))</f>
        <v/>
      </c>
      <c r="R24" s="22">
        <f>IF(M24="","",IF(M24="OOTB",5,IF(M24="Konfigurace",3,IF(M24="Custom vývoj",1,IF(OR(M24="3rd party",M24="Nesplněno"),0,"")))))</f>
        <v/>
      </c>
      <c r="S24" s="23" t="n"/>
      <c r="T24" s="22">
        <f>IF(R24="","",IF(OR(P24="CHYBÍ odkaz FS",S24="Ne"),0,R24))</f>
        <v/>
      </c>
      <c r="U24" s="22">
        <f>IF(G24&lt;&gt;"Ano","",IF(M24="","",IF(OR(M24="Nesplněno",M24="3rd party",M24="Neakceptuje",S24="Ne",P24="CHYBÍ odkaz FS"),"FAIL",IF(M24="Akceptuje s výhradou","K VYJASNĚNÍ","PASS"))))</f>
        <v/>
      </c>
      <c r="V24" s="22">
        <f>IF(AND(J24="Byznys (30 %)",G24&lt;&gt;"Ano",ISNUMBER(T24)),T24*Q24,0)</f>
        <v/>
      </c>
      <c r="W24" s="22">
        <f>IF(AND(J24="Byznys (30 %)",G24&lt;&gt;"Ano",F24&lt;&gt;"Won't"),5*Q24,0)</f>
        <v/>
      </c>
      <c r="X24" s="24" t="n"/>
    </row>
    <row r="25">
      <c r="A25" s="18" t="inlineStr">
        <is>
          <t>SCR-005</t>
        </is>
      </c>
      <c r="B25" s="18" t="inlineStr">
        <is>
          <t>SCR</t>
        </is>
      </c>
      <c r="C25" s="19" t="inlineStr">
        <is>
          <t>Fuzzy matching jmen s podporou transliterace (cyrilice, arabské písmo, čínské znaky), zaměnitelných pořadí jmen a diakritiky; prahy shody nastavitelné bez vývoje.</t>
        </is>
      </c>
      <c r="D25" s="19" t="inlineStr">
        <is>
          <t>Snížení false positive</t>
        </is>
      </c>
      <c r="E25" s="18" t="inlineStr">
        <is>
          <t>Compliance</t>
        </is>
      </c>
      <c r="F25" s="18" t="inlineStr">
        <is>
          <t>Must</t>
        </is>
      </c>
      <c r="G25" s="18" t="inlineStr">
        <is>
          <t>Ne</t>
        </is>
      </c>
      <c r="H25" s="19" t="inlineStr">
        <is>
          <t>Jméno v cyrilici je spárováno s latinkou dle ICAO i BGN/PCGN transliterace.</t>
        </is>
      </c>
      <c r="I25" s="18" t="inlineStr">
        <is>
          <t>6.2</t>
        </is>
      </c>
      <c r="J25" s="18" t="inlineStr">
        <is>
          <t>Byznys (30 %)</t>
        </is>
      </c>
      <c r="K25" s="18" t="inlineStr">
        <is>
          <t>Schváleno</t>
        </is>
      </c>
      <c r="L25" s="19" t="inlineStr"/>
      <c r="M25" s="20" t="n"/>
      <c r="N25" s="21" t="n"/>
      <c r="O25" s="20" t="n"/>
      <c r="P25" s="22">
        <f>IF(M25="","",IF(OR(M25="OOTB",M25="Konfigurace",M25="Custom vývoj"),IF(O25="","CHYBÍ odkaz FS","OK"),"N/A"))</f>
        <v/>
      </c>
      <c r="Q25" s="22">
        <f>IF(F25="Must",3,IF(F25="Should",2,IF(F25="Could",1,0)))</f>
        <v/>
      </c>
      <c r="R25" s="22">
        <f>IF(M25="","",IF(M25="OOTB",5,IF(M25="Konfigurace",3,IF(M25="Custom vývoj",1,IF(OR(M25="3rd party",M25="Nesplněno"),0,"")))))</f>
        <v/>
      </c>
      <c r="S25" s="23" t="n"/>
      <c r="T25" s="22">
        <f>IF(R25="","",IF(OR(P25="CHYBÍ odkaz FS",S25="Ne"),0,R25))</f>
        <v/>
      </c>
      <c r="U25" s="22">
        <f>IF(G25&lt;&gt;"Ano","",IF(M25="","",IF(OR(M25="Nesplněno",M25="3rd party",M25="Neakceptuje",S25="Ne",P25="CHYBÍ odkaz FS"),"FAIL",IF(M25="Akceptuje s výhradou","K VYJASNĚNÍ","PASS"))))</f>
        <v/>
      </c>
      <c r="V25" s="22">
        <f>IF(AND(J25="Byznys (30 %)",G25&lt;&gt;"Ano",ISNUMBER(T25)),T25*Q25,0)</f>
        <v/>
      </c>
      <c r="W25" s="22">
        <f>IF(AND(J25="Byznys (30 %)",G25&lt;&gt;"Ano",F25&lt;&gt;"Won't"),5*Q25,0)</f>
        <v/>
      </c>
      <c r="X25" s="24" t="n"/>
    </row>
    <row r="26">
      <c r="A26" s="18" t="inlineStr">
        <is>
          <t>SCR-006</t>
        </is>
      </c>
      <c r="B26" s="18" t="inlineStr">
        <is>
          <t>SCR</t>
        </is>
      </c>
      <c r="C26" s="19" t="inlineStr">
        <is>
          <t>Seznam vyloučených shod (good-guy / whitelist) s povinným schválením čtyřma očima, zdůvodněním a datem expirace.</t>
        </is>
      </c>
      <c r="D26" s="19" t="inlineStr">
        <is>
          <t>Snížení false positive; auditovatelnost</t>
        </is>
      </c>
      <c r="E26" s="18" t="inlineStr">
        <is>
          <t>Compliance</t>
        </is>
      </c>
      <c r="F26" s="18" t="inlineStr">
        <is>
          <t>Must</t>
        </is>
      </c>
      <c r="G26" s="18" t="inlineStr">
        <is>
          <t>Ne</t>
        </is>
      </c>
      <c r="H26" s="19" t="inlineStr">
        <is>
          <t>Výjimka bez druhého schválení se neaplikuje; po expiraci se shoda znovu vyhodnotí.</t>
        </is>
      </c>
      <c r="I26" s="18" t="inlineStr">
        <is>
          <t>6.2</t>
        </is>
      </c>
      <c r="J26" s="18" t="inlineStr">
        <is>
          <t>Byznys (30 %)</t>
        </is>
      </c>
      <c r="K26" s="18" t="inlineStr">
        <is>
          <t>Schváleno</t>
        </is>
      </c>
      <c r="L26" s="19" t="inlineStr"/>
      <c r="M26" s="20" t="n"/>
      <c r="N26" s="21" t="n"/>
      <c r="O26" s="20" t="n"/>
      <c r="P26" s="22">
        <f>IF(M26="","",IF(OR(M26="OOTB",M26="Konfigurace",M26="Custom vývoj"),IF(O26="","CHYBÍ odkaz FS","OK"),"N/A"))</f>
        <v/>
      </c>
      <c r="Q26" s="22">
        <f>IF(F26="Must",3,IF(F26="Should",2,IF(F26="Could",1,0)))</f>
        <v/>
      </c>
      <c r="R26" s="22">
        <f>IF(M26="","",IF(M26="OOTB",5,IF(M26="Konfigurace",3,IF(M26="Custom vývoj",1,IF(OR(M26="3rd party",M26="Nesplněno"),0,"")))))</f>
        <v/>
      </c>
      <c r="S26" s="23" t="n"/>
      <c r="T26" s="22">
        <f>IF(R26="","",IF(OR(P26="CHYBÍ odkaz FS",S26="Ne"),0,R26))</f>
        <v/>
      </c>
      <c r="U26" s="22">
        <f>IF(G26&lt;&gt;"Ano","",IF(M26="","",IF(OR(M26="Nesplněno",M26="3rd party",M26="Neakceptuje",S26="Ne",P26="CHYBÍ odkaz FS"),"FAIL",IF(M26="Akceptuje s výhradou","K VYJASNĚNÍ","PASS"))))</f>
        <v/>
      </c>
      <c r="V26" s="22">
        <f>IF(AND(J26="Byznys (30 %)",G26&lt;&gt;"Ano",ISNUMBER(T26)),T26*Q26,0)</f>
        <v/>
      </c>
      <c r="W26" s="22">
        <f>IF(AND(J26="Byznys (30 %)",G26&lt;&gt;"Ano",F26&lt;&gt;"Won't"),5*Q26,0)</f>
        <v/>
      </c>
      <c r="X26" s="24" t="n"/>
    </row>
    <row r="27">
      <c r="A27" s="18" t="inlineStr">
        <is>
          <t>SCR-007</t>
        </is>
      </c>
      <c r="B27" s="18" t="inlineStr">
        <is>
          <t>SCR</t>
        </is>
      </c>
      <c r="C27" s="19" t="inlineStr">
        <is>
          <t>Online screening odchozích a příchozích zahraničních plateb (SWIFT, SEPA) vůči sankčním seznamům před jejich zpracováním, s možností pozastavit platbu.</t>
        </is>
      </c>
      <c r="D27" s="19" t="inlineStr">
        <is>
          <t>z. č. 69/2006 Sb.; sankční nařízení EU</t>
        </is>
      </c>
      <c r="E27" s="18" t="inlineStr">
        <is>
          <t>Compliance</t>
        </is>
      </c>
      <c r="F27" s="18" t="inlineStr">
        <is>
          <t>Must</t>
        </is>
      </c>
      <c r="G27" s="18" t="inlineStr">
        <is>
          <t>Ne</t>
        </is>
      </c>
      <c r="H27" s="19" t="inlineStr">
        <is>
          <t>Platba na sankcionovaný subjekt je pozastavena a vznikne případ; odezva viz NFR-003.</t>
        </is>
      </c>
      <c r="I27" s="18" t="inlineStr">
        <is>
          <t>5.4</t>
        </is>
      </c>
      <c r="J27" s="18" t="inlineStr">
        <is>
          <t>Byznys (30 %)</t>
        </is>
      </c>
      <c r="K27" s="18" t="inlineStr">
        <is>
          <t>Schváleno</t>
        </is>
      </c>
      <c r="L27" s="19" t="inlineStr"/>
      <c r="M27" s="20" t="n"/>
      <c r="N27" s="21" t="n"/>
      <c r="O27" s="20" t="n"/>
      <c r="P27" s="22">
        <f>IF(M27="","",IF(OR(M27="OOTB",M27="Konfigurace",M27="Custom vývoj"),IF(O27="","CHYBÍ odkaz FS","OK"),"N/A"))</f>
        <v/>
      </c>
      <c r="Q27" s="22">
        <f>IF(F27="Must",3,IF(F27="Should",2,IF(F27="Could",1,0)))</f>
        <v/>
      </c>
      <c r="R27" s="22">
        <f>IF(M27="","",IF(M27="OOTB",5,IF(M27="Konfigurace",3,IF(M27="Custom vývoj",1,IF(OR(M27="3rd party",M27="Nesplněno"),0,"")))))</f>
        <v/>
      </c>
      <c r="S27" s="23" t="n"/>
      <c r="T27" s="22">
        <f>IF(R27="","",IF(OR(P27="CHYBÍ odkaz FS",S27="Ne"),0,R27))</f>
        <v/>
      </c>
      <c r="U27" s="22">
        <f>IF(G27&lt;&gt;"Ano","",IF(M27="","",IF(OR(M27="Nesplněno",M27="3rd party",M27="Neakceptuje",S27="Ne",P27="CHYBÍ odkaz FS"),"FAIL",IF(M27="Akceptuje s výhradou","K VYJASNĚNÍ","PASS"))))</f>
        <v/>
      </c>
      <c r="V27" s="22">
        <f>IF(AND(J27="Byznys (30 %)",G27&lt;&gt;"Ano",ISNUMBER(T27)),T27*Q27,0)</f>
        <v/>
      </c>
      <c r="W27" s="22">
        <f>IF(AND(J27="Byznys (30 %)",G27&lt;&gt;"Ano",F27&lt;&gt;"Won't"),5*Q27,0)</f>
        <v/>
      </c>
      <c r="X27" s="24" t="n"/>
    </row>
    <row r="28">
      <c r="A28" s="18" t="inlineStr">
        <is>
          <t>SCR-008</t>
        </is>
      </c>
      <c r="B28" s="18" t="inlineStr">
        <is>
          <t>SCR</t>
        </is>
      </c>
      <c r="C28" s="19" t="inlineStr">
        <is>
          <t>Měření míry falešně pozitivních shod a možnost otestovat změnu nastavení screeningu nad historickými daty (what-if) před nasazením.</t>
        </is>
      </c>
      <c r="D28" s="19" t="inlineStr">
        <is>
          <t>Efektivita Compliance</t>
        </is>
      </c>
      <c r="E28" s="18" t="inlineStr">
        <is>
          <t>Compliance</t>
        </is>
      </c>
      <c r="F28" s="18" t="inlineStr">
        <is>
          <t>Should</t>
        </is>
      </c>
      <c r="G28" s="18" t="inlineStr">
        <is>
          <t>Ne</t>
        </is>
      </c>
      <c r="H28" s="19" t="inlineStr">
        <is>
          <t>Simulace změny prahu ukáže počet alertů za posledních 6 měsíců před a po změně.</t>
        </is>
      </c>
      <c r="I28" s="18" t="inlineStr">
        <is>
          <t>6.2</t>
        </is>
      </c>
      <c r="J28" s="18" t="inlineStr">
        <is>
          <t>Byznys (30 %)</t>
        </is>
      </c>
      <c r="K28" s="18" t="inlineStr">
        <is>
          <t>Schváleno</t>
        </is>
      </c>
      <c r="L28" s="19" t="inlineStr">
        <is>
          <t>Dnešní FP rate cca 97 %.</t>
        </is>
      </c>
      <c r="M28" s="20" t="n"/>
      <c r="N28" s="21" t="n"/>
      <c r="O28" s="20" t="n"/>
      <c r="P28" s="22">
        <f>IF(M28="","",IF(OR(M28="OOTB",M28="Konfigurace",M28="Custom vývoj"),IF(O28="","CHYBÍ odkaz FS","OK"),"N/A"))</f>
        <v/>
      </c>
      <c r="Q28" s="22">
        <f>IF(F28="Must",3,IF(F28="Should",2,IF(F28="Could",1,0)))</f>
        <v/>
      </c>
      <c r="R28" s="22">
        <f>IF(M28="","",IF(M28="OOTB",5,IF(M28="Konfigurace",3,IF(M28="Custom vývoj",1,IF(OR(M28="3rd party",M28="Nesplněno"),0,"")))))</f>
        <v/>
      </c>
      <c r="S28" s="23" t="n"/>
      <c r="T28" s="22">
        <f>IF(R28="","",IF(OR(P28="CHYBÍ odkaz FS",S28="Ne"),0,R28))</f>
        <v/>
      </c>
      <c r="U28" s="22">
        <f>IF(G28&lt;&gt;"Ano","",IF(M28="","",IF(OR(M28="Nesplněno",M28="3rd party",M28="Neakceptuje",S28="Ne",P28="CHYBÍ odkaz FS"),"FAIL",IF(M28="Akceptuje s výhradou","K VYJASNĚNÍ","PASS"))))</f>
        <v/>
      </c>
      <c r="V28" s="22">
        <f>IF(AND(J28="Byznys (30 %)",G28&lt;&gt;"Ano",ISNUMBER(T28)),T28*Q28,0)</f>
        <v/>
      </c>
      <c r="W28" s="22">
        <f>IF(AND(J28="Byznys (30 %)",G28&lt;&gt;"Ano",F28&lt;&gt;"Won't"),5*Q28,0)</f>
        <v/>
      </c>
      <c r="X28" s="24" t="n"/>
    </row>
    <row r="29">
      <c r="A29" s="18" t="inlineStr">
        <is>
          <t>SCR-009</t>
        </is>
      </c>
      <c r="B29" s="18" t="inlineStr">
        <is>
          <t>SCR</t>
        </is>
      </c>
      <c r="C29" s="19" t="inlineStr">
        <is>
          <t>Řešení podporuje alespoň dva komerční zdroje dat PEP/adverse media; náklady na datové zdroje jsou uvedeny v cenové nabídce.</t>
        </is>
      </c>
      <c r="D29" s="19" t="inlineStr">
        <is>
          <t>Riziko vendor lock-in; TCO</t>
        </is>
      </c>
      <c r="E29" s="18" t="inlineStr">
        <is>
          <t>IT</t>
        </is>
      </c>
      <c r="F29" s="18" t="inlineStr">
        <is>
          <t>Should</t>
        </is>
      </c>
      <c r="G29" s="18" t="inlineStr">
        <is>
          <t>Ne</t>
        </is>
      </c>
      <c r="H29" s="19" t="inlineStr">
        <is>
          <t>Výměna zdroje dat nevyžaduje změnu integrací Banky.</t>
        </is>
      </c>
      <c r="I29" s="18" t="inlineStr">
        <is>
          <t>3.3</t>
        </is>
      </c>
      <c r="J29" s="18" t="inlineStr">
        <is>
          <t>Byznys (30 %)</t>
        </is>
      </c>
      <c r="K29" s="18" t="inlineStr">
        <is>
          <t>Schváleno</t>
        </is>
      </c>
      <c r="L29" s="19" t="inlineStr"/>
      <c r="M29" s="20" t="n"/>
      <c r="N29" s="21" t="n"/>
      <c r="O29" s="20" t="n"/>
      <c r="P29" s="22">
        <f>IF(M29="","",IF(OR(M29="OOTB",M29="Konfigurace",M29="Custom vývoj"),IF(O29="","CHYBÍ odkaz FS","OK"),"N/A"))</f>
        <v/>
      </c>
      <c r="Q29" s="22">
        <f>IF(F29="Must",3,IF(F29="Should",2,IF(F29="Could",1,0)))</f>
        <v/>
      </c>
      <c r="R29" s="22">
        <f>IF(M29="","",IF(M29="OOTB",5,IF(M29="Konfigurace",3,IF(M29="Custom vývoj",1,IF(OR(M29="3rd party",M29="Nesplněno"),0,"")))))</f>
        <v/>
      </c>
      <c r="S29" s="23" t="n"/>
      <c r="T29" s="22">
        <f>IF(R29="","",IF(OR(P29="CHYBÍ odkaz FS",S29="Ne"),0,R29))</f>
        <v/>
      </c>
      <c r="U29" s="22">
        <f>IF(G29&lt;&gt;"Ano","",IF(M29="","",IF(OR(M29="Nesplněno",M29="3rd party",M29="Neakceptuje",S29="Ne",P29="CHYBÍ odkaz FS"),"FAIL",IF(M29="Akceptuje s výhradou","K VYJASNĚNÍ","PASS"))))</f>
        <v/>
      </c>
      <c r="V29" s="22">
        <f>IF(AND(J29="Byznys (30 %)",G29&lt;&gt;"Ano",ISNUMBER(T29)),T29*Q29,0)</f>
        <v/>
      </c>
      <c r="W29" s="22">
        <f>IF(AND(J29="Byznys (30 %)",G29&lt;&gt;"Ano",F29&lt;&gt;"Won't"),5*Q29,0)</f>
        <v/>
      </c>
      <c r="X29" s="24" t="n"/>
    </row>
    <row r="30">
      <c r="A30" s="18" t="inlineStr">
        <is>
          <t>SCR-010</t>
        </is>
      </c>
      <c r="B30" s="18" t="inlineStr">
        <is>
          <t>SCR</t>
        </is>
      </c>
      <c r="C30" s="19" t="inlineStr">
        <is>
          <t>Uchování historie screeningu (verze seznamu, výsledek, rozhodnutí, uživatel) po dobu 10 let od ukončení obchodního vztahu.</t>
        </is>
      </c>
      <c r="D30" s="19" t="inlineStr">
        <is>
          <t>§ 16 z. č. 253/2008 Sb.</t>
        </is>
      </c>
      <c r="E30" s="18" t="inlineStr">
        <is>
          <t>Compliance</t>
        </is>
      </c>
      <c r="F30" s="18" t="inlineStr">
        <is>
          <t>Must</t>
        </is>
      </c>
      <c r="G30" s="18" t="inlineStr">
        <is>
          <t>Ne</t>
        </is>
      </c>
      <c r="H30" s="19" t="inlineStr">
        <is>
          <t>Pro libovolné datum lze doložit, proti které verzi seznamu byl klient prověřen.</t>
        </is>
      </c>
      <c r="I30" s="18" t="inlineStr">
        <is>
          <t>9.2</t>
        </is>
      </c>
      <c r="J30" s="18" t="inlineStr">
        <is>
          <t>Byznys (30 %)</t>
        </is>
      </c>
      <c r="K30" s="18" t="inlineStr">
        <is>
          <t>Schváleno</t>
        </is>
      </c>
      <c r="L30" s="19" t="inlineStr"/>
      <c r="M30" s="20" t="n"/>
      <c r="N30" s="21" t="n"/>
      <c r="O30" s="20" t="n"/>
      <c r="P30" s="22">
        <f>IF(M30="","",IF(OR(M30="OOTB",M30="Konfigurace",M30="Custom vývoj"),IF(O30="","CHYBÍ odkaz FS","OK"),"N/A"))</f>
        <v/>
      </c>
      <c r="Q30" s="22">
        <f>IF(F30="Must",3,IF(F30="Should",2,IF(F30="Could",1,0)))</f>
        <v/>
      </c>
      <c r="R30" s="22">
        <f>IF(M30="","",IF(M30="OOTB",5,IF(M30="Konfigurace",3,IF(M30="Custom vývoj",1,IF(OR(M30="3rd party",M30="Nesplněno"),0,"")))))</f>
        <v/>
      </c>
      <c r="S30" s="23" t="n"/>
      <c r="T30" s="22">
        <f>IF(R30="","",IF(OR(P30="CHYBÍ odkaz FS",S30="Ne"),0,R30))</f>
        <v/>
      </c>
      <c r="U30" s="22">
        <f>IF(G30&lt;&gt;"Ano","",IF(M30="","",IF(OR(M30="Nesplněno",M30="3rd party",M30="Neakceptuje",S30="Ne",P30="CHYBÍ odkaz FS"),"FAIL",IF(M30="Akceptuje s výhradou","K VYJASNĚNÍ","PASS"))))</f>
        <v/>
      </c>
      <c r="V30" s="22">
        <f>IF(AND(J30="Byznys (30 %)",G30&lt;&gt;"Ano",ISNUMBER(T30)),T30*Q30,0)</f>
        <v/>
      </c>
      <c r="W30" s="22">
        <f>IF(AND(J30="Byznys (30 %)",G30&lt;&gt;"Ano",F30&lt;&gt;"Won't"),5*Q30,0)</f>
        <v/>
      </c>
      <c r="X30" s="24" t="n"/>
    </row>
    <row r="31">
      <c r="A31" s="18" t="inlineStr">
        <is>
          <t>TM-001</t>
        </is>
      </c>
      <c r="B31" s="18" t="inlineStr">
        <is>
          <t>TM</t>
        </is>
      </c>
      <c r="C31" s="19" t="inlineStr">
        <is>
          <t>Monitoring transakcí pomocí konfigurovatelných scénářů; dodávaná knihovna obsahuje min. 40 typologií relevantních pro privátní bankovnictví (strukturování, rychlý průtok, rizikové země, nesoulad s profilem).</t>
        </is>
      </c>
      <c r="D31" s="19" t="inlineStr">
        <is>
          <t>§ 21 z. č. 253/2008 Sb.; vyhl. ČNB č. 67/2018 Sb.</t>
        </is>
      </c>
      <c r="E31" s="18" t="inlineStr">
        <is>
          <t>Compliance</t>
        </is>
      </c>
      <c r="F31" s="18" t="inlineStr">
        <is>
          <t>Must</t>
        </is>
      </c>
      <c r="G31" s="18" t="inlineStr">
        <is>
          <t>Ne</t>
        </is>
      </c>
      <c r="H31" s="19" t="inlineStr">
        <is>
          <t>Dodavatel předloží seznam scénářů; 10 vybraných předvede ve skriptovaném demu.</t>
        </is>
      </c>
      <c r="I31" s="18" t="inlineStr">
        <is>
          <t>6.3</t>
        </is>
      </c>
      <c r="J31" s="18" t="inlineStr">
        <is>
          <t>Byznys (30 %)</t>
        </is>
      </c>
      <c r="K31" s="18" t="inlineStr">
        <is>
          <t>Schváleno</t>
        </is>
      </c>
      <c r="L31" s="19" t="inlineStr"/>
      <c r="M31" s="20" t="n"/>
      <c r="N31" s="21" t="n"/>
      <c r="O31" s="20" t="n"/>
      <c r="P31" s="22">
        <f>IF(M31="","",IF(OR(M31="OOTB",M31="Konfigurace",M31="Custom vývoj"),IF(O31="","CHYBÍ odkaz FS","OK"),"N/A"))</f>
        <v/>
      </c>
      <c r="Q31" s="22">
        <f>IF(F31="Must",3,IF(F31="Should",2,IF(F31="Could",1,0)))</f>
        <v/>
      </c>
      <c r="R31" s="22">
        <f>IF(M31="","",IF(M31="OOTB",5,IF(M31="Konfigurace",3,IF(M31="Custom vývoj",1,IF(OR(M31="3rd party",M31="Nesplněno"),0,"")))))</f>
        <v/>
      </c>
      <c r="S31" s="23" t="n"/>
      <c r="T31" s="22">
        <f>IF(R31="","",IF(OR(P31="CHYBÍ odkaz FS",S31="Ne"),0,R31))</f>
        <v/>
      </c>
      <c r="U31" s="22">
        <f>IF(G31&lt;&gt;"Ano","",IF(M31="","",IF(OR(M31="Nesplněno",M31="3rd party",M31="Neakceptuje",S31="Ne",P31="CHYBÍ odkaz FS"),"FAIL",IF(M31="Akceptuje s výhradou","K VYJASNĚNÍ","PASS"))))</f>
        <v/>
      </c>
      <c r="V31" s="22">
        <f>IF(AND(J31="Byznys (30 %)",G31&lt;&gt;"Ano",ISNUMBER(T31)),T31*Q31,0)</f>
        <v/>
      </c>
      <c r="W31" s="22">
        <f>IF(AND(J31="Byznys (30 %)",G31&lt;&gt;"Ano",F31&lt;&gt;"Won't"),5*Q31,0)</f>
        <v/>
      </c>
      <c r="X31" s="24" t="n"/>
    </row>
    <row r="32">
      <c r="A32" s="18" t="inlineStr">
        <is>
          <t>TM-002</t>
        </is>
      </c>
      <c r="B32" s="18" t="inlineStr">
        <is>
          <t>TM</t>
        </is>
      </c>
      <c r="C32" s="19" t="inlineStr">
        <is>
          <t>Compliance vytváří a mění scénáře v UI bez vývoje dodavatele; změny se verzují a schvalují čtyřma očima.</t>
        </is>
      </c>
      <c r="D32" s="19" t="inlineStr">
        <is>
          <t>Nezávislost na dodavateli</t>
        </is>
      </c>
      <c r="E32" s="18" t="inlineStr">
        <is>
          <t>Compliance</t>
        </is>
      </c>
      <c r="F32" s="18" t="inlineStr">
        <is>
          <t>Must</t>
        </is>
      </c>
      <c r="G32" s="18" t="inlineStr">
        <is>
          <t>Ne</t>
        </is>
      </c>
      <c r="H32" s="19" t="inlineStr">
        <is>
          <t>Nový scénář založený v UI je po schválení aktivní v produkci bez nasazení nové verze.</t>
        </is>
      </c>
      <c r="I32" s="18" t="inlineStr">
        <is>
          <t>6.3</t>
        </is>
      </c>
      <c r="J32" s="18" t="inlineStr">
        <is>
          <t>Byznys (30 %)</t>
        </is>
      </c>
      <c r="K32" s="18" t="inlineStr">
        <is>
          <t>Schváleno</t>
        </is>
      </c>
      <c r="L32" s="19" t="inlineStr"/>
      <c r="M32" s="20" t="n"/>
      <c r="N32" s="21" t="n"/>
      <c r="O32" s="20" t="n"/>
      <c r="P32" s="22">
        <f>IF(M32="","",IF(OR(M32="OOTB",M32="Konfigurace",M32="Custom vývoj"),IF(O32="","CHYBÍ odkaz FS","OK"),"N/A"))</f>
        <v/>
      </c>
      <c r="Q32" s="22">
        <f>IF(F32="Must",3,IF(F32="Should",2,IF(F32="Could",1,0)))</f>
        <v/>
      </c>
      <c r="R32" s="22">
        <f>IF(M32="","",IF(M32="OOTB",5,IF(M32="Konfigurace",3,IF(M32="Custom vývoj",1,IF(OR(M32="3rd party",M32="Nesplněno"),0,"")))))</f>
        <v/>
      </c>
      <c r="S32" s="23" t="n"/>
      <c r="T32" s="22">
        <f>IF(R32="","",IF(OR(P32="CHYBÍ odkaz FS",S32="Ne"),0,R32))</f>
        <v/>
      </c>
      <c r="U32" s="22">
        <f>IF(G32&lt;&gt;"Ano","",IF(M32="","",IF(OR(M32="Nesplněno",M32="3rd party",M32="Neakceptuje",S32="Ne",P32="CHYBÍ odkaz FS"),"FAIL",IF(M32="Akceptuje s výhradou","K VYJASNĚNÍ","PASS"))))</f>
        <v/>
      </c>
      <c r="V32" s="22">
        <f>IF(AND(J32="Byznys (30 %)",G32&lt;&gt;"Ano",ISNUMBER(T32)),T32*Q32,0)</f>
        <v/>
      </c>
      <c r="W32" s="22">
        <f>IF(AND(J32="Byznys (30 %)",G32&lt;&gt;"Ano",F32&lt;&gt;"Won't"),5*Q32,0)</f>
        <v/>
      </c>
      <c r="X32" s="24" t="n"/>
    </row>
    <row r="33">
      <c r="A33" s="18" t="inlineStr">
        <is>
          <t>TM-003</t>
        </is>
      </c>
      <c r="B33" s="18" t="inlineStr">
        <is>
          <t>TM</t>
        </is>
      </c>
      <c r="C33" s="19" t="inlineStr">
        <is>
          <t>Testování (backtesting) nového nebo upraveného scénáře nad historickými daty před nasazením.</t>
        </is>
      </c>
      <c r="D33" s="19" t="inlineStr">
        <is>
          <t>Kvalita detekce</t>
        </is>
      </c>
      <c r="E33" s="18" t="inlineStr">
        <is>
          <t>Compliance</t>
        </is>
      </c>
      <c r="F33" s="18" t="inlineStr">
        <is>
          <t>Should</t>
        </is>
      </c>
      <c r="G33" s="18" t="inlineStr">
        <is>
          <t>Ne</t>
        </is>
      </c>
      <c r="H33" s="19" t="inlineStr">
        <is>
          <t>Výsledek backtestu nad 12 měsíci dat je k dispozici do 4 hodin.</t>
        </is>
      </c>
      <c r="I33" s="18" t="inlineStr">
        <is>
          <t>6.3</t>
        </is>
      </c>
      <c r="J33" s="18" t="inlineStr">
        <is>
          <t>Byznys (30 %)</t>
        </is>
      </c>
      <c r="K33" s="18" t="inlineStr">
        <is>
          <t>Schváleno</t>
        </is>
      </c>
      <c r="L33" s="19" t="inlineStr"/>
      <c r="M33" s="20" t="n"/>
      <c r="N33" s="21" t="n"/>
      <c r="O33" s="20" t="n"/>
      <c r="P33" s="22">
        <f>IF(M33="","",IF(OR(M33="OOTB",M33="Konfigurace",M33="Custom vývoj"),IF(O33="","CHYBÍ odkaz FS","OK"),"N/A"))</f>
        <v/>
      </c>
      <c r="Q33" s="22">
        <f>IF(F33="Must",3,IF(F33="Should",2,IF(F33="Could",1,0)))</f>
        <v/>
      </c>
      <c r="R33" s="22">
        <f>IF(M33="","",IF(M33="OOTB",5,IF(M33="Konfigurace",3,IF(M33="Custom vývoj",1,IF(OR(M33="3rd party",M33="Nesplněno"),0,"")))))</f>
        <v/>
      </c>
      <c r="S33" s="23" t="n"/>
      <c r="T33" s="22">
        <f>IF(R33="","",IF(OR(P33="CHYBÍ odkaz FS",S33="Ne"),0,R33))</f>
        <v/>
      </c>
      <c r="U33" s="22">
        <f>IF(G33&lt;&gt;"Ano","",IF(M33="","",IF(OR(M33="Nesplněno",M33="3rd party",M33="Neakceptuje",S33="Ne",P33="CHYBÍ odkaz FS"),"FAIL",IF(M33="Akceptuje s výhradou","K VYJASNĚNÍ","PASS"))))</f>
        <v/>
      </c>
      <c r="V33" s="22">
        <f>IF(AND(J33="Byznys (30 %)",G33&lt;&gt;"Ano",ISNUMBER(T33)),T33*Q33,0)</f>
        <v/>
      </c>
      <c r="W33" s="22">
        <f>IF(AND(J33="Byznys (30 %)",G33&lt;&gt;"Ano",F33&lt;&gt;"Won't"),5*Q33,0)</f>
        <v/>
      </c>
      <c r="X33" s="24" t="n"/>
    </row>
    <row r="34">
      <c r="A34" s="18" t="inlineStr">
        <is>
          <t>TM-004</t>
        </is>
      </c>
      <c r="B34" s="18" t="inlineStr">
        <is>
          <t>TM</t>
        </is>
      </c>
      <c r="C34" s="19" t="inlineStr">
        <is>
          <t>Kontrola úplnosti informací o plátci a příjemci u bezhotovostních převodů a hlášení neúplných zpráv.</t>
        </is>
      </c>
      <c r="D34" s="19" t="inlineStr">
        <is>
          <t>nařízení (EU) 2023/1113</t>
        </is>
      </c>
      <c r="E34" s="18" t="inlineStr">
        <is>
          <t>Compliance</t>
        </is>
      </c>
      <c r="F34" s="18" t="inlineStr">
        <is>
          <t>Should</t>
        </is>
      </c>
      <c r="G34" s="18" t="inlineStr">
        <is>
          <t>Ne</t>
        </is>
      </c>
      <c r="H34" s="19" t="inlineStr">
        <is>
          <t>Platba bez povinných údajů plátce vytvoří alert dle konfigurace.</t>
        </is>
      </c>
      <c r="I34" s="18" t="inlineStr">
        <is>
          <t>6.3</t>
        </is>
      </c>
      <c r="J34" s="18" t="inlineStr">
        <is>
          <t>Byznys (30 %)</t>
        </is>
      </c>
      <c r="K34" s="18" t="inlineStr">
        <is>
          <t>Schváleno</t>
        </is>
      </c>
      <c r="L34" s="19" t="inlineStr"/>
      <c r="M34" s="20" t="n"/>
      <c r="N34" s="21" t="n"/>
      <c r="O34" s="20" t="n"/>
      <c r="P34" s="22">
        <f>IF(M34="","",IF(OR(M34="OOTB",M34="Konfigurace",M34="Custom vývoj"),IF(O34="","CHYBÍ odkaz FS","OK"),"N/A"))</f>
        <v/>
      </c>
      <c r="Q34" s="22">
        <f>IF(F34="Must",3,IF(F34="Should",2,IF(F34="Could",1,0)))</f>
        <v/>
      </c>
      <c r="R34" s="22">
        <f>IF(M34="","",IF(M34="OOTB",5,IF(M34="Konfigurace",3,IF(M34="Custom vývoj",1,IF(OR(M34="3rd party",M34="Nesplněno"),0,"")))))</f>
        <v/>
      </c>
      <c r="S34" s="23" t="n"/>
      <c r="T34" s="22">
        <f>IF(R34="","",IF(OR(P34="CHYBÍ odkaz FS",S34="Ne"),0,R34))</f>
        <v/>
      </c>
      <c r="U34" s="22">
        <f>IF(G34&lt;&gt;"Ano","",IF(M34="","",IF(OR(M34="Nesplněno",M34="3rd party",M34="Neakceptuje",S34="Ne",P34="CHYBÍ odkaz FS"),"FAIL",IF(M34="Akceptuje s výhradou","K VYJASNĚNÍ","PASS"))))</f>
        <v/>
      </c>
      <c r="V34" s="22">
        <f>IF(AND(J34="Byznys (30 %)",G34&lt;&gt;"Ano",ISNUMBER(T34)),T34*Q34,0)</f>
        <v/>
      </c>
      <c r="W34" s="22">
        <f>IF(AND(J34="Byznys (30 %)",G34&lt;&gt;"Ano",F34&lt;&gt;"Won't"),5*Q34,0)</f>
        <v/>
      </c>
      <c r="X34" s="24" t="n"/>
    </row>
    <row r="35">
      <c r="A35" s="18" t="inlineStr">
        <is>
          <t>TM-005</t>
        </is>
      </c>
      <c r="B35" s="18" t="inlineStr">
        <is>
          <t>TM</t>
        </is>
      </c>
      <c r="C35" s="19" t="inlineStr">
        <is>
          <t>Profil očekávaného chování klienta (obrat, země, typy transakcí dle KYC) a alert při významné odchylce skutečnosti od profilu.</t>
        </is>
      </c>
      <c r="D35" s="19" t="inlineStr">
        <is>
          <t>§ 9 odst. 2 písm. d) z. č. 253/2008 Sb.</t>
        </is>
      </c>
      <c r="E35" s="18" t="inlineStr">
        <is>
          <t>Compliance</t>
        </is>
      </c>
      <c r="F35" s="18" t="inlineStr">
        <is>
          <t>Must</t>
        </is>
      </c>
      <c r="G35" s="18" t="inlineStr">
        <is>
          <t>Ne</t>
        </is>
      </c>
      <c r="H35" s="19" t="inlineStr">
        <is>
          <t>Měsíční obrat přesahující deklarovaný o nastavitelné % vytvoří alert.</t>
        </is>
      </c>
      <c r="I35" s="18" t="inlineStr">
        <is>
          <t>6.3</t>
        </is>
      </c>
      <c r="J35" s="18" t="inlineStr">
        <is>
          <t>Byznys (30 %)</t>
        </is>
      </c>
      <c r="K35" s="18" t="inlineStr">
        <is>
          <t>Schváleno</t>
        </is>
      </c>
      <c r="L35" s="19" t="inlineStr"/>
      <c r="M35" s="20" t="n"/>
      <c r="N35" s="21" t="n"/>
      <c r="O35" s="20" t="n"/>
      <c r="P35" s="22">
        <f>IF(M35="","",IF(OR(M35="OOTB",M35="Konfigurace",M35="Custom vývoj"),IF(O35="","CHYBÍ odkaz FS","OK"),"N/A"))</f>
        <v/>
      </c>
      <c r="Q35" s="22">
        <f>IF(F35="Must",3,IF(F35="Should",2,IF(F35="Could",1,0)))</f>
        <v/>
      </c>
      <c r="R35" s="22">
        <f>IF(M35="","",IF(M35="OOTB",5,IF(M35="Konfigurace",3,IF(M35="Custom vývoj",1,IF(OR(M35="3rd party",M35="Nesplněno"),0,"")))))</f>
        <v/>
      </c>
      <c r="S35" s="23" t="n"/>
      <c r="T35" s="22">
        <f>IF(R35="","",IF(OR(P35="CHYBÍ odkaz FS",S35="Ne"),0,R35))</f>
        <v/>
      </c>
      <c r="U35" s="22">
        <f>IF(G35&lt;&gt;"Ano","",IF(M35="","",IF(OR(M35="Nesplněno",M35="3rd party",M35="Neakceptuje",S35="Ne",P35="CHYBÍ odkaz FS"),"FAIL",IF(M35="Akceptuje s výhradou","K VYJASNĚNÍ","PASS"))))</f>
        <v/>
      </c>
      <c r="V35" s="22">
        <f>IF(AND(J35="Byznys (30 %)",G35&lt;&gt;"Ano",ISNUMBER(T35)),T35*Q35,0)</f>
        <v/>
      </c>
      <c r="W35" s="22">
        <f>IF(AND(J35="Byznys (30 %)",G35&lt;&gt;"Ano",F35&lt;&gt;"Won't"),5*Q35,0)</f>
        <v/>
      </c>
      <c r="X35" s="24" t="n"/>
    </row>
    <row r="36">
      <c r="A36" s="18" t="inlineStr">
        <is>
          <t>TM-006</t>
        </is>
      </c>
      <c r="B36" s="18" t="inlineStr">
        <is>
          <t>TM</t>
        </is>
      </c>
      <c r="C36" s="19" t="inlineStr">
        <is>
          <t>Podpora odkladu splnění příkazu klienta: pozastavení odchozí platby na základě alertu a evidence lhůt odkladu.</t>
        </is>
      </c>
      <c r="D36" s="19" t="inlineStr">
        <is>
          <t>§ 20 z. č. 253/2008 Sb.</t>
        </is>
      </c>
      <c r="E36" s="18" t="inlineStr">
        <is>
          <t>Compliance</t>
        </is>
      </c>
      <c r="F36" s="18" t="inlineStr">
        <is>
          <t>Must</t>
        </is>
      </c>
      <c r="G36" s="18" t="inlineStr">
        <is>
          <t>Ne</t>
        </is>
      </c>
      <c r="H36" s="19" t="inlineStr">
        <is>
          <t>Pozastavená platba je evidována s časem a lhůtou; uvolnění vyžaduje rozhodnutí oprávněné osoby.</t>
        </is>
      </c>
      <c r="I36" s="18" t="inlineStr">
        <is>
          <t>5.4</t>
        </is>
      </c>
      <c r="J36" s="18" t="inlineStr">
        <is>
          <t>Byznys (30 %)</t>
        </is>
      </c>
      <c r="K36" s="18" t="inlineStr">
        <is>
          <t>Schváleno</t>
        </is>
      </c>
      <c r="L36" s="19" t="inlineStr"/>
      <c r="M36" s="20" t="n"/>
      <c r="N36" s="21" t="n"/>
      <c r="O36" s="20" t="n"/>
      <c r="P36" s="22">
        <f>IF(M36="","",IF(OR(M36="OOTB",M36="Konfigurace",M36="Custom vývoj"),IF(O36="","CHYBÍ odkaz FS","OK"),"N/A"))</f>
        <v/>
      </c>
      <c r="Q36" s="22">
        <f>IF(F36="Must",3,IF(F36="Should",2,IF(F36="Could",1,0)))</f>
        <v/>
      </c>
      <c r="R36" s="22">
        <f>IF(M36="","",IF(M36="OOTB",5,IF(M36="Konfigurace",3,IF(M36="Custom vývoj",1,IF(OR(M36="3rd party",M36="Nesplněno"),0,"")))))</f>
        <v/>
      </c>
      <c r="S36" s="23" t="n"/>
      <c r="T36" s="22">
        <f>IF(R36="","",IF(OR(P36="CHYBÍ odkaz FS",S36="Ne"),0,R36))</f>
        <v/>
      </c>
      <c r="U36" s="22">
        <f>IF(G36&lt;&gt;"Ano","",IF(M36="","",IF(OR(M36="Nesplněno",M36="3rd party",M36="Neakceptuje",S36="Ne",P36="CHYBÍ odkaz FS"),"FAIL",IF(M36="Akceptuje s výhradou","K VYJASNĚNÍ","PASS"))))</f>
        <v/>
      </c>
      <c r="V36" s="22">
        <f>IF(AND(J36="Byznys (30 %)",G36&lt;&gt;"Ano",ISNUMBER(T36)),T36*Q36,0)</f>
        <v/>
      </c>
      <c r="W36" s="22">
        <f>IF(AND(J36="Byznys (30 %)",G36&lt;&gt;"Ano",F36&lt;&gt;"Won't"),5*Q36,0)</f>
        <v/>
      </c>
      <c r="X36" s="24" t="n"/>
    </row>
    <row r="37">
      <c r="A37" s="18" t="inlineStr">
        <is>
          <t>TM-007</t>
        </is>
      </c>
      <c r="B37" s="18" t="inlineStr">
        <is>
          <t>TM</t>
        </is>
      </c>
      <c r="C37" s="19" t="inlineStr">
        <is>
          <t>Detekce anomálií pomocí strojového učení jako doplněk scénářů, s vysvětlením důvodu alertu srozumitelným pro analytika.</t>
        </is>
      </c>
      <c r="D37" s="19" t="inlineStr">
        <is>
          <t>nařízení (EU) 2024/1689 (AI Act) – transparentnost</t>
        </is>
      </c>
      <c r="E37" s="18" t="inlineStr">
        <is>
          <t>Compliance</t>
        </is>
      </c>
      <c r="F37" s="18" t="inlineStr">
        <is>
          <t>Could</t>
        </is>
      </c>
      <c r="G37" s="18" t="inlineStr">
        <is>
          <t>Ne</t>
        </is>
      </c>
      <c r="H37" s="19" t="inlineStr">
        <is>
          <t>Každý ML alert obsahuje 3 hlavní faktory, které ho způsobily.</t>
        </is>
      </c>
      <c r="I37" s="18" t="inlineStr">
        <is>
          <t>6.3</t>
        </is>
      </c>
      <c r="J37" s="18" t="inlineStr">
        <is>
          <t>Byznys (30 %)</t>
        </is>
      </c>
      <c r="K37" s="18" t="inlineStr">
        <is>
          <t>Schváleno</t>
        </is>
      </c>
      <c r="L37" s="19" t="inlineStr"/>
      <c r="M37" s="20" t="n"/>
      <c r="N37" s="21" t="n"/>
      <c r="O37" s="20" t="n"/>
      <c r="P37" s="22">
        <f>IF(M37="","",IF(OR(M37="OOTB",M37="Konfigurace",M37="Custom vývoj"),IF(O37="","CHYBÍ odkaz FS","OK"),"N/A"))</f>
        <v/>
      </c>
      <c r="Q37" s="22">
        <f>IF(F37="Must",3,IF(F37="Should",2,IF(F37="Could",1,0)))</f>
        <v/>
      </c>
      <c r="R37" s="22">
        <f>IF(M37="","",IF(M37="OOTB",5,IF(M37="Konfigurace",3,IF(M37="Custom vývoj",1,IF(OR(M37="3rd party",M37="Nesplněno"),0,"")))))</f>
        <v/>
      </c>
      <c r="S37" s="23" t="n"/>
      <c r="T37" s="22">
        <f>IF(R37="","",IF(OR(P37="CHYBÍ odkaz FS",S37="Ne"),0,R37))</f>
        <v/>
      </c>
      <c r="U37" s="22">
        <f>IF(G37&lt;&gt;"Ano","",IF(M37="","",IF(OR(M37="Nesplněno",M37="3rd party",M37="Neakceptuje",S37="Ne",P37="CHYBÍ odkaz FS"),"FAIL",IF(M37="Akceptuje s výhradou","K VYJASNĚNÍ","PASS"))))</f>
        <v/>
      </c>
      <c r="V37" s="22">
        <f>IF(AND(J37="Byznys (30 %)",G37&lt;&gt;"Ano",ISNUMBER(T37)),T37*Q37,0)</f>
        <v/>
      </c>
      <c r="W37" s="22">
        <f>IF(AND(J37="Byznys (30 %)",G37&lt;&gt;"Ano",F37&lt;&gt;"Won't"),5*Q37,0)</f>
        <v/>
      </c>
      <c r="X37" s="24" t="n"/>
    </row>
    <row r="38">
      <c r="A38" s="18" t="inlineStr">
        <is>
          <t>TM-008</t>
        </is>
      </c>
      <c r="B38" s="18" t="inlineStr">
        <is>
          <t>TM</t>
        </is>
      </c>
      <c r="C38" s="19" t="inlineStr">
        <is>
          <t>Při spuštění systém zpracuje transakční historii za 24 měsíců pro výpočet profilů a baseline scénářů.</t>
        </is>
      </c>
      <c r="D38" s="19" t="inlineStr">
        <is>
          <t>Kontinuita monitoringu</t>
        </is>
      </c>
      <c r="E38" s="18" t="inlineStr">
        <is>
          <t>Compliance</t>
        </is>
      </c>
      <c r="F38" s="18" t="inlineStr">
        <is>
          <t>Should</t>
        </is>
      </c>
      <c r="G38" s="18" t="inlineStr">
        <is>
          <t>Ne</t>
        </is>
      </c>
      <c r="H38" s="19" t="inlineStr">
        <is>
          <t>První den produkce jsou profily klientů vypočteny z migrované historie.</t>
        </is>
      </c>
      <c r="I38" s="18" t="inlineStr">
        <is>
          <t>7.2</t>
        </is>
      </c>
      <c r="J38" s="18" t="inlineStr">
        <is>
          <t>Byznys (30 %)</t>
        </is>
      </c>
      <c r="K38" s="18" t="inlineStr">
        <is>
          <t>Schváleno</t>
        </is>
      </c>
      <c r="L38" s="19" t="inlineStr"/>
      <c r="M38" s="20" t="n"/>
      <c r="N38" s="21" t="n"/>
      <c r="O38" s="20" t="n"/>
      <c r="P38" s="22">
        <f>IF(M38="","",IF(OR(M38="OOTB",M38="Konfigurace",M38="Custom vývoj"),IF(O38="","CHYBÍ odkaz FS","OK"),"N/A"))</f>
        <v/>
      </c>
      <c r="Q38" s="22">
        <f>IF(F38="Must",3,IF(F38="Should",2,IF(F38="Could",1,0)))</f>
        <v/>
      </c>
      <c r="R38" s="22">
        <f>IF(M38="","",IF(M38="OOTB",5,IF(M38="Konfigurace",3,IF(M38="Custom vývoj",1,IF(OR(M38="3rd party",M38="Nesplněno"),0,"")))))</f>
        <v/>
      </c>
      <c r="S38" s="23" t="n"/>
      <c r="T38" s="22">
        <f>IF(R38="","",IF(OR(P38="CHYBÍ odkaz FS",S38="Ne"),0,R38))</f>
        <v/>
      </c>
      <c r="U38" s="22">
        <f>IF(G38&lt;&gt;"Ano","",IF(M38="","",IF(OR(M38="Nesplněno",M38="3rd party",M38="Neakceptuje",S38="Ne",P38="CHYBÍ odkaz FS"),"FAIL",IF(M38="Akceptuje s výhradou","K VYJASNĚNÍ","PASS"))))</f>
        <v/>
      </c>
      <c r="V38" s="22">
        <f>IF(AND(J38="Byznys (30 %)",G38&lt;&gt;"Ano",ISNUMBER(T38)),T38*Q38,0)</f>
        <v/>
      </c>
      <c r="W38" s="22">
        <f>IF(AND(J38="Byznys (30 %)",G38&lt;&gt;"Ano",F38&lt;&gt;"Won't"),5*Q38,0)</f>
        <v/>
      </c>
      <c r="X38" s="24" t="n"/>
    </row>
    <row r="39">
      <c r="A39" s="18" t="inlineStr">
        <is>
          <t>CAS-001</t>
        </is>
      </c>
      <c r="B39" s="18" t="inlineStr">
        <is>
          <t>CAS</t>
        </is>
      </c>
      <c r="C39" s="19" t="inlineStr">
        <is>
          <t>Jednotná správa případů pro alerty ze screeningu, monitoringu transakcí a KYC, s prioritizací, přidělováním a sledováním lhůt zpracování.</t>
        </is>
      </c>
      <c r="D39" s="19" t="inlineStr">
        <is>
          <t>Efektivita Compliance</t>
        </is>
      </c>
      <c r="E39" s="18" t="inlineStr">
        <is>
          <t>Compliance</t>
        </is>
      </c>
      <c r="F39" s="18" t="inlineStr">
        <is>
          <t>Must</t>
        </is>
      </c>
      <c r="G39" s="18" t="inlineStr">
        <is>
          <t>Ne</t>
        </is>
      </c>
      <c r="H39" s="19" t="inlineStr">
        <is>
          <t>Analytik vidí jednu frontu případů ze všech zdrojů s barevně odlišenou lhůtou.</t>
        </is>
      </c>
      <c r="I39" s="18" t="inlineStr">
        <is>
          <t>6.4</t>
        </is>
      </c>
      <c r="J39" s="18" t="inlineStr">
        <is>
          <t>Byznys (30 %)</t>
        </is>
      </c>
      <c r="K39" s="18" t="inlineStr">
        <is>
          <t>Schváleno</t>
        </is>
      </c>
      <c r="L39" s="19" t="inlineStr"/>
      <c r="M39" s="20" t="n"/>
      <c r="N39" s="21" t="n"/>
      <c r="O39" s="20" t="n"/>
      <c r="P39" s="22">
        <f>IF(M39="","",IF(OR(M39="OOTB",M39="Konfigurace",M39="Custom vývoj"),IF(O39="","CHYBÍ odkaz FS","OK"),"N/A"))</f>
        <v/>
      </c>
      <c r="Q39" s="22">
        <f>IF(F39="Must",3,IF(F39="Should",2,IF(F39="Could",1,0)))</f>
        <v/>
      </c>
      <c r="R39" s="22">
        <f>IF(M39="","",IF(M39="OOTB",5,IF(M39="Konfigurace",3,IF(M39="Custom vývoj",1,IF(OR(M39="3rd party",M39="Nesplněno"),0,"")))))</f>
        <v/>
      </c>
      <c r="S39" s="23" t="n"/>
      <c r="T39" s="22">
        <f>IF(R39="","",IF(OR(P39="CHYBÍ odkaz FS",S39="Ne"),0,R39))</f>
        <v/>
      </c>
      <c r="U39" s="22">
        <f>IF(G39&lt;&gt;"Ano","",IF(M39="","",IF(OR(M39="Nesplněno",M39="3rd party",M39="Neakceptuje",S39="Ne",P39="CHYBÍ odkaz FS"),"FAIL",IF(M39="Akceptuje s výhradou","K VYJASNĚNÍ","PASS"))))</f>
        <v/>
      </c>
      <c r="V39" s="22">
        <f>IF(AND(J39="Byznys (30 %)",G39&lt;&gt;"Ano",ISNUMBER(T39)),T39*Q39,0)</f>
        <v/>
      </c>
      <c r="W39" s="22">
        <f>IF(AND(J39="Byznys (30 %)",G39&lt;&gt;"Ano",F39&lt;&gt;"Won't"),5*Q39,0)</f>
        <v/>
      </c>
      <c r="X39" s="24" t="n"/>
    </row>
    <row r="40">
      <c r="A40" s="18" t="inlineStr">
        <is>
          <t>CAS-002</t>
        </is>
      </c>
      <c r="B40" s="18" t="inlineStr">
        <is>
          <t>CAS</t>
        </is>
      </c>
      <c r="C40" s="19" t="inlineStr">
        <is>
          <t>Rozhodnutí o přijetí, zamítnutí, blokaci nebo ukončení vztahu probíhá na principu čtyř očí; systém nedovolí, aby rozhodl uživatel, který případ připravil.</t>
        </is>
      </c>
      <c r="D40" s="19" t="inlineStr">
        <is>
          <t>Vnitřní kontrolní systém; vyhl. ČNB č. 67/2018 Sb.</t>
        </is>
      </c>
      <c r="E40" s="18" t="inlineStr">
        <is>
          <t>Compliance</t>
        </is>
      </c>
      <c r="F40" s="18" t="inlineStr">
        <is>
          <t>Must</t>
        </is>
      </c>
      <c r="G40" s="18" t="inlineStr">
        <is>
          <t>Ne</t>
        </is>
      </c>
      <c r="H40" s="19" t="inlineStr">
        <is>
          <t>Pokus o schválení vlastního případu systém odmítne a zaloguje.</t>
        </is>
      </c>
      <c r="I40" s="18" t="inlineStr">
        <is>
          <t>6.4</t>
        </is>
      </c>
      <c r="J40" s="18" t="inlineStr">
        <is>
          <t>Byznys (30 %)</t>
        </is>
      </c>
      <c r="K40" s="18" t="inlineStr">
        <is>
          <t>Schváleno</t>
        </is>
      </c>
      <c r="L40" s="19" t="inlineStr"/>
      <c r="M40" s="20" t="n"/>
      <c r="N40" s="21" t="n"/>
      <c r="O40" s="20" t="n"/>
      <c r="P40" s="22">
        <f>IF(M40="","",IF(OR(M40="OOTB",M40="Konfigurace",M40="Custom vývoj"),IF(O40="","CHYBÍ odkaz FS","OK"),"N/A"))</f>
        <v/>
      </c>
      <c r="Q40" s="22">
        <f>IF(F40="Must",3,IF(F40="Should",2,IF(F40="Could",1,0)))</f>
        <v/>
      </c>
      <c r="R40" s="22">
        <f>IF(M40="","",IF(M40="OOTB",5,IF(M40="Konfigurace",3,IF(M40="Custom vývoj",1,IF(OR(M40="3rd party",M40="Nesplněno"),0,"")))))</f>
        <v/>
      </c>
      <c r="S40" s="23" t="n"/>
      <c r="T40" s="22">
        <f>IF(R40="","",IF(OR(P40="CHYBÍ odkaz FS",S40="Ne"),0,R40))</f>
        <v/>
      </c>
      <c r="U40" s="22">
        <f>IF(G40&lt;&gt;"Ano","",IF(M40="","",IF(OR(M40="Nesplněno",M40="3rd party",M40="Neakceptuje",S40="Ne",P40="CHYBÍ odkaz FS"),"FAIL",IF(M40="Akceptuje s výhradou","K VYJASNĚNÍ","PASS"))))</f>
        <v/>
      </c>
      <c r="V40" s="22">
        <f>IF(AND(J40="Byznys (30 %)",G40&lt;&gt;"Ano",ISNUMBER(T40)),T40*Q40,0)</f>
        <v/>
      </c>
      <c r="W40" s="22">
        <f>IF(AND(J40="Byznys (30 %)",G40&lt;&gt;"Ano",F40&lt;&gt;"Won't"),5*Q40,0)</f>
        <v/>
      </c>
      <c r="X40" s="24" t="n"/>
    </row>
    <row r="41">
      <c r="A41" s="18" t="inlineStr">
        <is>
          <t>CAS-003</t>
        </is>
      </c>
      <c r="B41" s="18" t="inlineStr">
        <is>
          <t>CAS</t>
        </is>
      </c>
      <c r="C41" s="19" t="inlineStr">
        <is>
          <t>Rozhodnutí se do 1 minuty propíše do CRM jako stav klienta (aktivní / v prověření / blokován / ukončen) a CRM podle stavu omezí dostupné akce.</t>
        </is>
      </c>
      <c r="D41" s="19" t="inlineStr">
        <is>
          <t>Případová studie: rozhodovací procesy v CRM</t>
        </is>
      </c>
      <c r="E41" s="18" t="inlineStr">
        <is>
          <t>Obchod</t>
        </is>
      </c>
      <c r="F41" s="18" t="inlineStr">
        <is>
          <t>Must</t>
        </is>
      </c>
      <c r="G41" s="18" t="inlineStr">
        <is>
          <t>Ne</t>
        </is>
      </c>
      <c r="H41" s="19" t="inlineStr">
        <is>
          <t>Po blokaci nelze v CRM založit nový produkt klientovi.</t>
        </is>
      </c>
      <c r="I41" s="18" t="inlineStr">
        <is>
          <t>5.1</t>
        </is>
      </c>
      <c r="J41" s="18" t="inlineStr">
        <is>
          <t>Byznys (30 %)</t>
        </is>
      </c>
      <c r="K41" s="18" t="inlineStr">
        <is>
          <t>Schváleno</t>
        </is>
      </c>
      <c r="L41" s="19" t="inlineStr"/>
      <c r="M41" s="20" t="n"/>
      <c r="N41" s="21" t="n"/>
      <c r="O41" s="20" t="n"/>
      <c r="P41" s="22">
        <f>IF(M41="","",IF(OR(M41="OOTB",M41="Konfigurace",M41="Custom vývoj"),IF(O41="","CHYBÍ odkaz FS","OK"),"N/A"))</f>
        <v/>
      </c>
      <c r="Q41" s="22">
        <f>IF(F41="Must",3,IF(F41="Should",2,IF(F41="Could",1,0)))</f>
        <v/>
      </c>
      <c r="R41" s="22">
        <f>IF(M41="","",IF(M41="OOTB",5,IF(M41="Konfigurace",3,IF(M41="Custom vývoj",1,IF(OR(M41="3rd party",M41="Nesplněno"),0,"")))))</f>
        <v/>
      </c>
      <c r="S41" s="23" t="n"/>
      <c r="T41" s="22">
        <f>IF(R41="","",IF(OR(P41="CHYBÍ odkaz FS",S41="Ne"),0,R41))</f>
        <v/>
      </c>
      <c r="U41" s="22">
        <f>IF(G41&lt;&gt;"Ano","",IF(M41="","",IF(OR(M41="Nesplněno",M41="3rd party",M41="Neakceptuje",S41="Ne",P41="CHYBÍ odkaz FS"),"FAIL",IF(M41="Akceptuje s výhradou","K VYJASNĚNÍ","PASS"))))</f>
        <v/>
      </c>
      <c r="V41" s="22">
        <f>IF(AND(J41="Byznys (30 %)",G41&lt;&gt;"Ano",ISNUMBER(T41)),T41*Q41,0)</f>
        <v/>
      </c>
      <c r="W41" s="22">
        <f>IF(AND(J41="Byznys (30 %)",G41&lt;&gt;"Ano",F41&lt;&gt;"Won't"),5*Q41,0)</f>
        <v/>
      </c>
      <c r="X41" s="24" t="n"/>
    </row>
    <row r="42">
      <c r="A42" s="18" t="inlineStr">
        <is>
          <t>CAS-004</t>
        </is>
      </c>
      <c r="B42" s="18" t="inlineStr">
        <is>
          <t>CAS</t>
        </is>
      </c>
      <c r="C42" s="19" t="inlineStr">
        <is>
          <t>Zamítnutí nebo blokaci klienta vždy potvrzuje člověk; plně automatické rozhodnutí je možné jen v předem schválených případech (např. přesná shoda se sankčním seznamem).</t>
        </is>
      </c>
      <c r="D42" s="19" t="inlineStr">
        <is>
          <t>čl. 22 GDPR</t>
        </is>
      </c>
      <c r="E42" s="18" t="inlineStr">
        <is>
          <t>Legal</t>
        </is>
      </c>
      <c r="F42" s="18" t="inlineStr">
        <is>
          <t>Must</t>
        </is>
      </c>
      <c r="G42" s="18" t="inlineStr">
        <is>
          <t>Ne</t>
        </is>
      </c>
      <c r="H42" s="19" t="inlineStr">
        <is>
          <t>Konfigurace automatických rozhodnutí je oddělena a změnu schvaluje Compliance i DPO.</t>
        </is>
      </c>
      <c r="I42" s="18" t="inlineStr">
        <is>
          <t>6.4</t>
        </is>
      </c>
      <c r="J42" s="18" t="inlineStr">
        <is>
          <t>Byznys (30 %)</t>
        </is>
      </c>
      <c r="K42" s="18" t="inlineStr">
        <is>
          <t>Schváleno s úpravou</t>
        </is>
      </c>
      <c r="L42" s="19" t="inlineStr">
        <is>
          <t>Obchod chtěl automatické schvalování nízkého rizika; Legal + Compliance trvají na lidském rozhodnutí u negativních výsledků.</t>
        </is>
      </c>
      <c r="M42" s="20" t="n"/>
      <c r="N42" s="21" t="n"/>
      <c r="O42" s="20" t="n"/>
      <c r="P42" s="22">
        <f>IF(M42="","",IF(OR(M42="OOTB",M42="Konfigurace",M42="Custom vývoj"),IF(O42="","CHYBÍ odkaz FS","OK"),"N/A"))</f>
        <v/>
      </c>
      <c r="Q42" s="22">
        <f>IF(F42="Must",3,IF(F42="Should",2,IF(F42="Could",1,0)))</f>
        <v/>
      </c>
      <c r="R42" s="22">
        <f>IF(M42="","",IF(M42="OOTB",5,IF(M42="Konfigurace",3,IF(M42="Custom vývoj",1,IF(OR(M42="3rd party",M42="Nesplněno"),0,"")))))</f>
        <v/>
      </c>
      <c r="S42" s="23" t="n"/>
      <c r="T42" s="22">
        <f>IF(R42="","",IF(OR(P42="CHYBÍ odkaz FS",S42="Ne"),0,R42))</f>
        <v/>
      </c>
      <c r="U42" s="22">
        <f>IF(G42&lt;&gt;"Ano","",IF(M42="","",IF(OR(M42="Nesplněno",M42="3rd party",M42="Neakceptuje",S42="Ne",P42="CHYBÍ odkaz FS"),"FAIL",IF(M42="Akceptuje s výhradou","K VYJASNĚNÍ","PASS"))))</f>
        <v/>
      </c>
      <c r="V42" s="22">
        <f>IF(AND(J42="Byznys (30 %)",G42&lt;&gt;"Ano",ISNUMBER(T42)),T42*Q42,0)</f>
        <v/>
      </c>
      <c r="W42" s="22">
        <f>IF(AND(J42="Byznys (30 %)",G42&lt;&gt;"Ano",F42&lt;&gt;"Won't"),5*Q42,0)</f>
        <v/>
      </c>
      <c r="X42" s="24" t="n"/>
    </row>
    <row r="43">
      <c r="A43" s="18" t="inlineStr">
        <is>
          <t>CAS-005</t>
        </is>
      </c>
      <c r="B43" s="18" t="inlineStr">
        <is>
          <t>CAS</t>
        </is>
      </c>
      <c r="C43" s="19" t="inlineStr">
        <is>
          <t>Úplná a neměnná auditní stopa případu: kdo, kdy, jakou akci, s jakým zdůvodněním a s jakými podklady.</t>
        </is>
      </c>
      <c r="D43" s="19" t="inlineStr">
        <is>
          <t>§ 16 z. č. 253/2008 Sb.; DORA čl. 12</t>
        </is>
      </c>
      <c r="E43" s="18" t="inlineStr">
        <is>
          <t>Compliance</t>
        </is>
      </c>
      <c r="F43" s="18" t="inlineStr">
        <is>
          <t>Must</t>
        </is>
      </c>
      <c r="G43" s="18" t="inlineStr">
        <is>
          <t>Ne</t>
        </is>
      </c>
      <c r="H43" s="19" t="inlineStr">
        <is>
          <t>Auditní záznam nelze upravit ani smazat ani administrátorem.</t>
        </is>
      </c>
      <c r="I43" s="18" t="inlineStr">
        <is>
          <t>9.2</t>
        </is>
      </c>
      <c r="J43" s="18" t="inlineStr">
        <is>
          <t>Byznys (30 %)</t>
        </is>
      </c>
      <c r="K43" s="18" t="inlineStr">
        <is>
          <t>Schváleno</t>
        </is>
      </c>
      <c r="L43" s="19" t="inlineStr"/>
      <c r="M43" s="20" t="n"/>
      <c r="N43" s="21" t="n"/>
      <c r="O43" s="20" t="n"/>
      <c r="P43" s="22">
        <f>IF(M43="","",IF(OR(M43="OOTB",M43="Konfigurace",M43="Custom vývoj"),IF(O43="","CHYBÍ odkaz FS","OK"),"N/A"))</f>
        <v/>
      </c>
      <c r="Q43" s="22">
        <f>IF(F43="Must",3,IF(F43="Should",2,IF(F43="Could",1,0)))</f>
        <v/>
      </c>
      <c r="R43" s="22">
        <f>IF(M43="","",IF(M43="OOTB",5,IF(M43="Konfigurace",3,IF(M43="Custom vývoj",1,IF(OR(M43="3rd party",M43="Nesplněno"),0,"")))))</f>
        <v/>
      </c>
      <c r="S43" s="23" t="n"/>
      <c r="T43" s="22">
        <f>IF(R43="","",IF(OR(P43="CHYBÍ odkaz FS",S43="Ne"),0,R43))</f>
        <v/>
      </c>
      <c r="U43" s="22">
        <f>IF(G43&lt;&gt;"Ano","",IF(M43="","",IF(OR(M43="Nesplněno",M43="3rd party",M43="Neakceptuje",S43="Ne",P43="CHYBÍ odkaz FS"),"FAIL",IF(M43="Akceptuje s výhradou","K VYJASNĚNÍ","PASS"))))</f>
        <v/>
      </c>
      <c r="V43" s="22">
        <f>IF(AND(J43="Byznys (30 %)",G43&lt;&gt;"Ano",ISNUMBER(T43)),T43*Q43,0)</f>
        <v/>
      </c>
      <c r="W43" s="22">
        <f>IF(AND(J43="Byznys (30 %)",G43&lt;&gt;"Ano",F43&lt;&gt;"Won't"),5*Q43,0)</f>
        <v/>
      </c>
      <c r="X43" s="24" t="n"/>
    </row>
    <row r="44">
      <c r="A44" s="18" t="inlineStr">
        <is>
          <t>CAS-006</t>
        </is>
      </c>
      <c r="B44" s="18" t="inlineStr">
        <is>
          <t>CAS</t>
        </is>
      </c>
      <c r="C44" s="19" t="inlineStr">
        <is>
          <t>Přílohy případu se ukládají do bankovního DMS; systém drží pouze odkaz a metadata.</t>
        </is>
      </c>
      <c r="D44" s="19" t="inlineStr">
        <is>
          <t>Architektonický princip Banky</t>
        </is>
      </c>
      <c r="E44" s="18" t="inlineStr">
        <is>
          <t>IT</t>
        </is>
      </c>
      <c r="F44" s="18" t="inlineStr">
        <is>
          <t>Should</t>
        </is>
      </c>
      <c r="G44" s="18" t="inlineStr">
        <is>
          <t>Ne</t>
        </is>
      </c>
      <c r="H44" s="19" t="inlineStr">
        <is>
          <t>Dokument nahraný k případu je dohledatelný v DMS s identifikátorem případu.</t>
        </is>
      </c>
      <c r="I44" s="18" t="inlineStr">
        <is>
          <t>5.5</t>
        </is>
      </c>
      <c r="J44" s="18" t="inlineStr">
        <is>
          <t>Byznys (30 %)</t>
        </is>
      </c>
      <c r="K44" s="18" t="inlineStr">
        <is>
          <t>Schváleno</t>
        </is>
      </c>
      <c r="L44" s="19" t="inlineStr"/>
      <c r="M44" s="20" t="n"/>
      <c r="N44" s="21" t="n"/>
      <c r="O44" s="20" t="n"/>
      <c r="P44" s="22">
        <f>IF(M44="","",IF(OR(M44="OOTB",M44="Konfigurace",M44="Custom vývoj"),IF(O44="","CHYBÍ odkaz FS","OK"),"N/A"))</f>
        <v/>
      </c>
      <c r="Q44" s="22">
        <f>IF(F44="Must",3,IF(F44="Should",2,IF(F44="Could",1,0)))</f>
        <v/>
      </c>
      <c r="R44" s="22">
        <f>IF(M44="","",IF(M44="OOTB",5,IF(M44="Konfigurace",3,IF(M44="Custom vývoj",1,IF(OR(M44="3rd party",M44="Nesplněno"),0,"")))))</f>
        <v/>
      </c>
      <c r="S44" s="23" t="n"/>
      <c r="T44" s="22">
        <f>IF(R44="","",IF(OR(P44="CHYBÍ odkaz FS",S44="Ne"),0,R44))</f>
        <v/>
      </c>
      <c r="U44" s="22">
        <f>IF(G44&lt;&gt;"Ano","",IF(M44="","",IF(OR(M44="Nesplněno",M44="3rd party",M44="Neakceptuje",S44="Ne",P44="CHYBÍ odkaz FS"),"FAIL",IF(M44="Akceptuje s výhradou","K VYJASNĚNÍ","PASS"))))</f>
        <v/>
      </c>
      <c r="V44" s="22">
        <f>IF(AND(J44="Byznys (30 %)",G44&lt;&gt;"Ano",ISNUMBER(T44)),T44*Q44,0)</f>
        <v/>
      </c>
      <c r="W44" s="22">
        <f>IF(AND(J44="Byznys (30 %)",G44&lt;&gt;"Ano",F44&lt;&gt;"Won't"),5*Q44,0)</f>
        <v/>
      </c>
      <c r="X44" s="24" t="n"/>
    </row>
    <row r="45">
      <c r="A45" s="18" t="inlineStr">
        <is>
          <t>CAS-007</t>
        </is>
      </c>
      <c r="B45" s="18" t="inlineStr">
        <is>
          <t>CAS</t>
        </is>
      </c>
      <c r="C45" s="19" t="inlineStr">
        <is>
          <t>Eskalace případu na pověřenou osobu (MLRO) a příprava podkladu pro oznámení podezřelého obchodu s předvyplněním údajů z případu.</t>
        </is>
      </c>
      <c r="D45" s="19" t="inlineStr">
        <is>
          <t>§ 18 a § 22 z. č. 253/2008 Sb.</t>
        </is>
      </c>
      <c r="E45" s="18" t="inlineStr">
        <is>
          <t>Compliance</t>
        </is>
      </c>
      <c r="F45" s="18" t="inlineStr">
        <is>
          <t>Must</t>
        </is>
      </c>
      <c r="G45" s="18" t="inlineStr">
        <is>
          <t>Ne</t>
        </is>
      </c>
      <c r="H45" s="19" t="inlineStr">
        <is>
          <t>Z případu lze jedním krokem vytvořit koncept OPO s údaji o klientovi a transakcích.</t>
        </is>
      </c>
      <c r="I45" s="18" t="inlineStr">
        <is>
          <t>6.4</t>
        </is>
      </c>
      <c r="J45" s="18" t="inlineStr">
        <is>
          <t>Byznys (30 %)</t>
        </is>
      </c>
      <c r="K45" s="18" t="inlineStr">
        <is>
          <t>Schváleno</t>
        </is>
      </c>
      <c r="L45" s="19" t="inlineStr"/>
      <c r="M45" s="20" t="n"/>
      <c r="N45" s="21" t="n"/>
      <c r="O45" s="20" t="n"/>
      <c r="P45" s="22">
        <f>IF(M45="","",IF(OR(M45="OOTB",M45="Konfigurace",M45="Custom vývoj"),IF(O45="","CHYBÍ odkaz FS","OK"),"N/A"))</f>
        <v/>
      </c>
      <c r="Q45" s="22">
        <f>IF(F45="Must",3,IF(F45="Should",2,IF(F45="Could",1,0)))</f>
        <v/>
      </c>
      <c r="R45" s="22">
        <f>IF(M45="","",IF(M45="OOTB",5,IF(M45="Konfigurace",3,IF(M45="Custom vývoj",1,IF(OR(M45="3rd party",M45="Nesplněno"),0,"")))))</f>
        <v/>
      </c>
      <c r="S45" s="23" t="n"/>
      <c r="T45" s="22">
        <f>IF(R45="","",IF(OR(P45="CHYBÍ odkaz FS",S45="Ne"),0,R45))</f>
        <v/>
      </c>
      <c r="U45" s="22">
        <f>IF(G45&lt;&gt;"Ano","",IF(M45="","",IF(OR(M45="Nesplněno",M45="3rd party",M45="Neakceptuje",S45="Ne",P45="CHYBÍ odkaz FS"),"FAIL",IF(M45="Akceptuje s výhradou","K VYJASNĚNÍ","PASS"))))</f>
        <v/>
      </c>
      <c r="V45" s="22">
        <f>IF(AND(J45="Byznys (30 %)",G45&lt;&gt;"Ano",ISNUMBER(T45)),T45*Q45,0)</f>
        <v/>
      </c>
      <c r="W45" s="22">
        <f>IF(AND(J45="Byznys (30 %)",G45&lt;&gt;"Ano",F45&lt;&gt;"Won't"),5*Q45,0)</f>
        <v/>
      </c>
      <c r="X45" s="24" t="n"/>
    </row>
    <row r="46">
      <c r="A46" s="18" t="inlineStr">
        <is>
          <t>CAS-008</t>
        </is>
      </c>
      <c r="B46" s="18" t="inlineStr">
        <is>
          <t>CAS</t>
        </is>
      </c>
      <c r="C46" s="19" t="inlineStr">
        <is>
          <t>Hromadné uzavření alertů je možné jen s povinným zdůvodněním a zvláštním oprávněním.</t>
        </is>
      </c>
      <c r="D46" s="19" t="inlineStr">
        <is>
          <t>Auditovatelnost</t>
        </is>
      </c>
      <c r="E46" s="18" t="inlineStr">
        <is>
          <t>Compliance</t>
        </is>
      </c>
      <c r="F46" s="18" t="inlineStr">
        <is>
          <t>Could</t>
        </is>
      </c>
      <c r="G46" s="18" t="inlineStr">
        <is>
          <t>Ne</t>
        </is>
      </c>
      <c r="H46" s="19" t="inlineStr">
        <is>
          <t>Uživatel bez oprávnění funkci nevidí; hromadná akce je v auditní stopě.</t>
        </is>
      </c>
      <c r="I46" s="18" t="inlineStr">
        <is>
          <t>6.4</t>
        </is>
      </c>
      <c r="J46" s="18" t="inlineStr">
        <is>
          <t>Byznys (30 %)</t>
        </is>
      </c>
      <c r="K46" s="18" t="inlineStr">
        <is>
          <t>Schváleno</t>
        </is>
      </c>
      <c r="L46" s="19" t="inlineStr"/>
      <c r="M46" s="20" t="n"/>
      <c r="N46" s="21" t="n"/>
      <c r="O46" s="20" t="n"/>
      <c r="P46" s="22">
        <f>IF(M46="","",IF(OR(M46="OOTB",M46="Konfigurace",M46="Custom vývoj"),IF(O46="","CHYBÍ odkaz FS","OK"),"N/A"))</f>
        <v/>
      </c>
      <c r="Q46" s="22">
        <f>IF(F46="Must",3,IF(F46="Should",2,IF(F46="Could",1,0)))</f>
        <v/>
      </c>
      <c r="R46" s="22">
        <f>IF(M46="","",IF(M46="OOTB",5,IF(M46="Konfigurace",3,IF(M46="Custom vývoj",1,IF(OR(M46="3rd party",M46="Nesplněno"),0,"")))))</f>
        <v/>
      </c>
      <c r="S46" s="23" t="n"/>
      <c r="T46" s="22">
        <f>IF(R46="","",IF(OR(P46="CHYBÍ odkaz FS",S46="Ne"),0,R46))</f>
        <v/>
      </c>
      <c r="U46" s="22">
        <f>IF(G46&lt;&gt;"Ano","",IF(M46="","",IF(OR(M46="Nesplněno",M46="3rd party",M46="Neakceptuje",S46="Ne",P46="CHYBÍ odkaz FS"),"FAIL",IF(M46="Akceptuje s výhradou","K VYJASNĚNÍ","PASS"))))</f>
        <v/>
      </c>
      <c r="V46" s="22">
        <f>IF(AND(J46="Byznys (30 %)",G46&lt;&gt;"Ano",ISNUMBER(T46)),T46*Q46,0)</f>
        <v/>
      </c>
      <c r="W46" s="22">
        <f>IF(AND(J46="Byznys (30 %)",G46&lt;&gt;"Ano",F46&lt;&gt;"Won't"),5*Q46,0)</f>
        <v/>
      </c>
      <c r="X46" s="24" t="n"/>
    </row>
    <row r="47">
      <c r="A47" s="18" t="inlineStr">
        <is>
          <t>REP-001</t>
        </is>
      </c>
      <c r="B47" s="18" t="inlineStr">
        <is>
          <t>REP</t>
        </is>
      </c>
      <c r="C47" s="19" t="inlineStr">
        <is>
          <t>Generování oznámení podezřelého obchodu (OPO) ve struktuře požadované Finančním analytickým úřadem pro elektronické podání.</t>
        </is>
      </c>
      <c r="D47" s="19" t="inlineStr">
        <is>
          <t>§ 18 z. č. 253/2008 Sb.; metodika FAÚ</t>
        </is>
      </c>
      <c r="E47" s="18" t="inlineStr">
        <is>
          <t>Compliance</t>
        </is>
      </c>
      <c r="F47" s="18" t="inlineStr">
        <is>
          <t>Must</t>
        </is>
      </c>
      <c r="G47" s="18" t="inlineStr">
        <is>
          <t>Ne</t>
        </is>
      </c>
      <c r="H47" s="19" t="inlineStr">
        <is>
          <t>Vygenerovaný soubor projde validací formátu FAÚ bez ručních úprav.</t>
        </is>
      </c>
      <c r="I47" s="18" t="inlineStr">
        <is>
          <t>6.5</t>
        </is>
      </c>
      <c r="J47" s="18" t="inlineStr">
        <is>
          <t>Byznys (30 %)</t>
        </is>
      </c>
      <c r="K47" s="18" t="inlineStr">
        <is>
          <t>Schváleno</t>
        </is>
      </c>
      <c r="L47" s="19" t="inlineStr"/>
      <c r="M47" s="20" t="n"/>
      <c r="N47" s="21" t="n"/>
      <c r="O47" s="20" t="n"/>
      <c r="P47" s="22">
        <f>IF(M47="","",IF(OR(M47="OOTB",M47="Konfigurace",M47="Custom vývoj"),IF(O47="","CHYBÍ odkaz FS","OK"),"N/A"))</f>
        <v/>
      </c>
      <c r="Q47" s="22">
        <f>IF(F47="Must",3,IF(F47="Should",2,IF(F47="Could",1,0)))</f>
        <v/>
      </c>
      <c r="R47" s="22">
        <f>IF(M47="","",IF(M47="OOTB",5,IF(M47="Konfigurace",3,IF(M47="Custom vývoj",1,IF(OR(M47="3rd party",M47="Nesplněno"),0,"")))))</f>
        <v/>
      </c>
      <c r="S47" s="23" t="n"/>
      <c r="T47" s="22">
        <f>IF(R47="","",IF(OR(P47="CHYBÍ odkaz FS",S47="Ne"),0,R47))</f>
        <v/>
      </c>
      <c r="U47" s="22">
        <f>IF(G47&lt;&gt;"Ano","",IF(M47="","",IF(OR(M47="Nesplněno",M47="3rd party",M47="Neakceptuje",S47="Ne",P47="CHYBÍ odkaz FS"),"FAIL",IF(M47="Akceptuje s výhradou","K VYJASNĚNÍ","PASS"))))</f>
        <v/>
      </c>
      <c r="V47" s="22">
        <f>IF(AND(J47="Byznys (30 %)",G47&lt;&gt;"Ano",ISNUMBER(T47)),T47*Q47,0)</f>
        <v/>
      </c>
      <c r="W47" s="22">
        <f>IF(AND(J47="Byznys (30 %)",G47&lt;&gt;"Ano",F47&lt;&gt;"Won't"),5*Q47,0)</f>
        <v/>
      </c>
      <c r="X47" s="24" t="n"/>
    </row>
    <row r="48">
      <c r="A48" s="18" t="inlineStr">
        <is>
          <t>REP-002</t>
        </is>
      </c>
      <c r="B48" s="18" t="inlineStr">
        <is>
          <t>REP</t>
        </is>
      </c>
      <c r="C48" s="19" t="inlineStr">
        <is>
          <t>Manažerský reporting: počty alertů a případů, backlog, doba zpracování, míra falešně pozitivních shod, rozložení rizikovosti klientské báze.</t>
        </is>
      </c>
      <c r="D48" s="19" t="inlineStr">
        <is>
          <t>Řízení Compliance; zpráva pro představenstvo</t>
        </is>
      </c>
      <c r="E48" s="18" t="inlineStr">
        <is>
          <t>Compliance</t>
        </is>
      </c>
      <c r="F48" s="18" t="inlineStr">
        <is>
          <t>Should</t>
        </is>
      </c>
      <c r="G48" s="18" t="inlineStr">
        <is>
          <t>Ne</t>
        </is>
      </c>
      <c r="H48" s="19" t="inlineStr">
        <is>
          <t>Report je dostupný v UI a exportovatelný do XLSX a PDF.</t>
        </is>
      </c>
      <c r="I48" s="18" t="inlineStr">
        <is>
          <t>6.5</t>
        </is>
      </c>
      <c r="J48" s="18" t="inlineStr">
        <is>
          <t>Byznys (30 %)</t>
        </is>
      </c>
      <c r="K48" s="18" t="inlineStr">
        <is>
          <t>Schváleno</t>
        </is>
      </c>
      <c r="L48" s="19" t="inlineStr"/>
      <c r="M48" s="20" t="n"/>
      <c r="N48" s="21" t="n"/>
      <c r="O48" s="20" t="n"/>
      <c r="P48" s="22">
        <f>IF(M48="","",IF(OR(M48="OOTB",M48="Konfigurace",M48="Custom vývoj"),IF(O48="","CHYBÍ odkaz FS","OK"),"N/A"))</f>
        <v/>
      </c>
      <c r="Q48" s="22">
        <f>IF(F48="Must",3,IF(F48="Should",2,IF(F48="Could",1,0)))</f>
        <v/>
      </c>
      <c r="R48" s="22">
        <f>IF(M48="","",IF(M48="OOTB",5,IF(M48="Konfigurace",3,IF(M48="Custom vývoj",1,IF(OR(M48="3rd party",M48="Nesplněno"),0,"")))))</f>
        <v/>
      </c>
      <c r="S48" s="23" t="n"/>
      <c r="T48" s="22">
        <f>IF(R48="","",IF(OR(P48="CHYBÍ odkaz FS",S48="Ne"),0,R48))</f>
        <v/>
      </c>
      <c r="U48" s="22">
        <f>IF(G48&lt;&gt;"Ano","",IF(M48="","",IF(OR(M48="Nesplněno",M48="3rd party",M48="Neakceptuje",S48="Ne",P48="CHYBÍ odkaz FS"),"FAIL",IF(M48="Akceptuje s výhradou","K VYJASNĚNÍ","PASS"))))</f>
        <v/>
      </c>
      <c r="V48" s="22">
        <f>IF(AND(J48="Byznys (30 %)",G48&lt;&gt;"Ano",ISNUMBER(T48)),T48*Q48,0)</f>
        <v/>
      </c>
      <c r="W48" s="22">
        <f>IF(AND(J48="Byznys (30 %)",G48&lt;&gt;"Ano",F48&lt;&gt;"Won't"),5*Q48,0)</f>
        <v/>
      </c>
      <c r="X48" s="24" t="n"/>
    </row>
    <row r="49">
      <c r="A49" s="18" t="inlineStr">
        <is>
          <t>REP-003</t>
        </is>
      </c>
      <c r="B49" s="18" t="inlineStr">
        <is>
          <t>REP</t>
        </is>
      </c>
      <c r="C49" s="19" t="inlineStr">
        <is>
          <t>Podklady pro výroční hodnocení rizik a systému vnitřních zásad a pro pravidelný sběr dat ČNB v oblasti AML.</t>
        </is>
      </c>
      <c r="D49" s="19" t="inlineStr">
        <is>
          <t>§ 21 a § 21a z. č. 253/2008 Sb.; vyhl. ČNB č. 67/2018 Sb.</t>
        </is>
      </c>
      <c r="E49" s="18" t="inlineStr">
        <is>
          <t>Compliance</t>
        </is>
      </c>
      <c r="F49" s="18" t="inlineStr">
        <is>
          <t>Should</t>
        </is>
      </c>
      <c r="G49" s="18" t="inlineStr">
        <is>
          <t>Ne</t>
        </is>
      </c>
      <c r="H49" s="19" t="inlineStr">
        <is>
          <t>Předdefinované exporty pokrývají ukazatele, které Banka reportuje ČNB.</t>
        </is>
      </c>
      <c r="I49" s="18" t="inlineStr">
        <is>
          <t>6.5</t>
        </is>
      </c>
      <c r="J49" s="18" t="inlineStr">
        <is>
          <t>Byznys (30 %)</t>
        </is>
      </c>
      <c r="K49" s="18" t="inlineStr">
        <is>
          <t>Schváleno</t>
        </is>
      </c>
      <c r="L49" s="19" t="inlineStr"/>
      <c r="M49" s="20" t="n"/>
      <c r="N49" s="21" t="n"/>
      <c r="O49" s="20" t="n"/>
      <c r="P49" s="22">
        <f>IF(M49="","",IF(OR(M49="OOTB",M49="Konfigurace",M49="Custom vývoj"),IF(O49="","CHYBÍ odkaz FS","OK"),"N/A"))</f>
        <v/>
      </c>
      <c r="Q49" s="22">
        <f>IF(F49="Must",3,IF(F49="Should",2,IF(F49="Could",1,0)))</f>
        <v/>
      </c>
      <c r="R49" s="22">
        <f>IF(M49="","",IF(M49="OOTB",5,IF(M49="Konfigurace",3,IF(M49="Custom vývoj",1,IF(OR(M49="3rd party",M49="Nesplněno"),0,"")))))</f>
        <v/>
      </c>
      <c r="S49" s="23" t="n"/>
      <c r="T49" s="22">
        <f>IF(R49="","",IF(OR(P49="CHYBÍ odkaz FS",S49="Ne"),0,R49))</f>
        <v/>
      </c>
      <c r="U49" s="22">
        <f>IF(G49&lt;&gt;"Ano","",IF(M49="","",IF(OR(M49="Nesplněno",M49="3rd party",M49="Neakceptuje",S49="Ne",P49="CHYBÍ odkaz FS"),"FAIL",IF(M49="Akceptuje s výhradou","K VYJASNĚNÍ","PASS"))))</f>
        <v/>
      </c>
      <c r="V49" s="22">
        <f>IF(AND(J49="Byznys (30 %)",G49&lt;&gt;"Ano",ISNUMBER(T49)),T49*Q49,0)</f>
        <v/>
      </c>
      <c r="W49" s="22">
        <f>IF(AND(J49="Byznys (30 %)",G49&lt;&gt;"Ano",F49&lt;&gt;"Won't"),5*Q49,0)</f>
        <v/>
      </c>
      <c r="X49" s="24" t="n"/>
    </row>
    <row r="50">
      <c r="A50" s="18" t="inlineStr">
        <is>
          <t>REP-004</t>
        </is>
      </c>
      <c r="B50" s="18" t="inlineStr">
        <is>
          <t>REP</t>
        </is>
      </c>
      <c r="C50" s="19" t="inlineStr">
        <is>
          <t>Vyhledání všech údajů o klientovi, jeho případech a transakcích za zadané období pro odpověď na dotaz FAÚ nebo orgánu činného v trestním řízení.</t>
        </is>
      </c>
      <c r="D50" s="19" t="inlineStr">
        <is>
          <t>§ 24 z. č. 253/2008 Sb.</t>
        </is>
      </c>
      <c r="E50" s="18" t="inlineStr">
        <is>
          <t>Compliance</t>
        </is>
      </c>
      <c r="F50" s="18" t="inlineStr">
        <is>
          <t>Must</t>
        </is>
      </c>
      <c r="G50" s="18" t="inlineStr">
        <is>
          <t>Ne</t>
        </is>
      </c>
      <c r="H50" s="19" t="inlineStr">
        <is>
          <t>Kompletní export pro jednoho klienta za 5 let je hotov do 1 hodiny.</t>
        </is>
      </c>
      <c r="I50" s="18" t="inlineStr">
        <is>
          <t>6.5</t>
        </is>
      </c>
      <c r="J50" s="18" t="inlineStr">
        <is>
          <t>Byznys (30 %)</t>
        </is>
      </c>
      <c r="K50" s="18" t="inlineStr">
        <is>
          <t>Schváleno</t>
        </is>
      </c>
      <c r="L50" s="19" t="inlineStr"/>
      <c r="M50" s="20" t="n"/>
      <c r="N50" s="21" t="n"/>
      <c r="O50" s="20" t="n"/>
      <c r="P50" s="22">
        <f>IF(M50="","",IF(OR(M50="OOTB",M50="Konfigurace",M50="Custom vývoj"),IF(O50="","CHYBÍ odkaz FS","OK"),"N/A"))</f>
        <v/>
      </c>
      <c r="Q50" s="22">
        <f>IF(F50="Must",3,IF(F50="Should",2,IF(F50="Could",1,0)))</f>
        <v/>
      </c>
      <c r="R50" s="22">
        <f>IF(M50="","",IF(M50="OOTB",5,IF(M50="Konfigurace",3,IF(M50="Custom vývoj",1,IF(OR(M50="3rd party",M50="Nesplněno"),0,"")))))</f>
        <v/>
      </c>
      <c r="S50" s="23" t="n"/>
      <c r="T50" s="22">
        <f>IF(R50="","",IF(OR(P50="CHYBÍ odkaz FS",S50="Ne"),0,R50))</f>
        <v/>
      </c>
      <c r="U50" s="22">
        <f>IF(G50&lt;&gt;"Ano","",IF(M50="","",IF(OR(M50="Nesplněno",M50="3rd party",M50="Neakceptuje",S50="Ne",P50="CHYBÍ odkaz FS"),"FAIL",IF(M50="Akceptuje s výhradou","K VYJASNĚNÍ","PASS"))))</f>
        <v/>
      </c>
      <c r="V50" s="22">
        <f>IF(AND(J50="Byznys (30 %)",G50&lt;&gt;"Ano",ISNUMBER(T50)),T50*Q50,0)</f>
        <v/>
      </c>
      <c r="W50" s="22">
        <f>IF(AND(J50="Byznys (30 %)",G50&lt;&gt;"Ano",F50&lt;&gt;"Won't"),5*Q50,0)</f>
        <v/>
      </c>
      <c r="X50" s="24" t="n"/>
    </row>
    <row r="51">
      <c r="A51" s="18" t="inlineStr">
        <is>
          <t>INT-001</t>
        </is>
      </c>
      <c r="B51" s="18" t="inlineStr">
        <is>
          <t>INT</t>
        </is>
      </c>
      <c r="C51" s="19" t="inlineStr">
        <is>
          <t>Obousměrná integrace s CRM přes REST API: požadavek na onboarding, stav KYC, rizikový profil, termín revize a rozhodnutí; změny z AML se do CRM posílají událostmi.</t>
        </is>
      </c>
      <c r="D51" s="19" t="inlineStr">
        <is>
          <t>Případová studie: CRM je core aplikace</t>
        </is>
      </c>
      <c r="E51" s="18" t="inlineStr">
        <is>
          <t>IT</t>
        </is>
      </c>
      <c r="F51" s="18" t="inlineStr">
        <is>
          <t>Must</t>
        </is>
      </c>
      <c r="G51" s="25" t="inlineStr">
        <is>
          <t>Ano</t>
        </is>
      </c>
      <c r="H51" s="19" t="inlineStr">
        <is>
          <t>Integrační scénáře onboardingu, revize a blokace projdou E2E testem v SIT.</t>
        </is>
      </c>
      <c r="I51" s="18" t="inlineStr">
        <is>
          <t>5.1</t>
        </is>
      </c>
      <c r="J51" s="18" t="inlineStr">
        <is>
          <t>K.O. (Pass/Fail)</t>
        </is>
      </c>
      <c r="K51" s="18" t="inlineStr">
        <is>
          <t>Schváleno</t>
        </is>
      </c>
      <c r="L51" s="19" t="inlineStr"/>
      <c r="M51" s="20" t="n"/>
      <c r="N51" s="21" t="n"/>
      <c r="O51" s="20" t="n"/>
      <c r="P51" s="22">
        <f>IF(M51="","",IF(OR(M51="OOTB",M51="Konfigurace",M51="Custom vývoj"),IF(O51="","CHYBÍ odkaz FS","OK"),"N/A"))</f>
        <v/>
      </c>
      <c r="Q51" s="22">
        <f>IF(F51="Must",3,IF(F51="Should",2,IF(F51="Could",1,0)))</f>
        <v/>
      </c>
      <c r="R51" s="22">
        <f>IF(M51="","",IF(M51="OOTB",5,IF(M51="Konfigurace",3,IF(M51="Custom vývoj",1,IF(OR(M51="3rd party",M51="Nesplněno"),0,"")))))</f>
        <v/>
      </c>
      <c r="S51" s="23" t="n"/>
      <c r="T51" s="22">
        <f>IF(R51="","",IF(OR(P51="CHYBÍ odkaz FS",S51="Ne"),0,R51))</f>
        <v/>
      </c>
      <c r="U51" s="22">
        <f>IF(G51&lt;&gt;"Ano","",IF(M51="","",IF(OR(M51="Nesplněno",M51="3rd party",M51="Neakceptuje",S51="Ne",P51="CHYBÍ odkaz FS"),"FAIL",IF(M51="Akceptuje s výhradou","K VYJASNĚNÍ","PASS"))))</f>
        <v/>
      </c>
      <c r="V51" s="22">
        <f>IF(AND(J51="Byznys (30 %)",G51&lt;&gt;"Ano",ISNUMBER(T51)),T51*Q51,0)</f>
        <v/>
      </c>
      <c r="W51" s="22">
        <f>IF(AND(J51="Byznys (30 %)",G51&lt;&gt;"Ano",F51&lt;&gt;"Won't"),5*Q51,0)</f>
        <v/>
      </c>
      <c r="X51" s="24" t="n"/>
    </row>
    <row r="52">
      <c r="A52" s="18" t="inlineStr">
        <is>
          <t>INT-002</t>
        </is>
      </c>
      <c r="B52" s="18" t="inlineStr">
        <is>
          <t>INT</t>
        </is>
      </c>
      <c r="C52" s="19" t="inlineStr">
        <is>
          <t>Systém se napojí na core banking přes bankovní Kafka sběrnici (události transakcí a změn klientských dat).</t>
        </is>
      </c>
      <c r="D52" s="19" t="inlineStr">
        <is>
          <t>Architektonický standard Banky (event-driven)</t>
        </is>
      </c>
      <c r="E52" s="18" t="inlineStr">
        <is>
          <t>IT</t>
        </is>
      </c>
      <c r="F52" s="18" t="inlineStr">
        <is>
          <t>Must</t>
        </is>
      </c>
      <c r="G52" s="18" t="inlineStr">
        <is>
          <t>Ne</t>
        </is>
      </c>
      <c r="H52" s="19" t="inlineStr">
        <is>
          <t>Konzumace topiců transakcí v objemu dle NFR-003 bez ztráty zpráv.</t>
        </is>
      </c>
      <c r="I52" s="18" t="inlineStr">
        <is>
          <t>5.2</t>
        </is>
      </c>
      <c r="J52" s="18" t="inlineStr">
        <is>
          <t>Podklad pro FS (20 %)</t>
        </is>
      </c>
      <c r="K52" s="18" t="inlineStr">
        <is>
          <t>Schváleno</t>
        </is>
      </c>
      <c r="L52" s="19" t="inlineStr">
        <is>
          <t>Point-to-point integrace na core nebude akceptována.</t>
        </is>
      </c>
      <c r="M52" s="20" t="n"/>
      <c r="N52" s="21" t="n"/>
      <c r="O52" s="20" t="n"/>
      <c r="P52" s="22">
        <f>IF(M52="","",IF(OR(M52="OOTB",M52="Konfigurace",M52="Custom vývoj"),IF(O52="","CHYBÍ odkaz FS","OK"),"N/A"))</f>
        <v/>
      </c>
      <c r="Q52" s="22">
        <f>IF(F52="Must",3,IF(F52="Should",2,IF(F52="Could",1,0)))</f>
        <v/>
      </c>
      <c r="R52" s="22">
        <f>IF(M52="","",IF(M52="OOTB",5,IF(M52="Konfigurace",3,IF(M52="Custom vývoj",1,IF(OR(M52="3rd party",M52="Nesplněno"),0,"")))))</f>
        <v/>
      </c>
      <c r="S52" s="23" t="n"/>
      <c r="T52" s="22">
        <f>IF(R52="","",IF(OR(P52="CHYBÍ odkaz FS",S52="Ne"),0,R52))</f>
        <v/>
      </c>
      <c r="U52" s="22">
        <f>IF(G52&lt;&gt;"Ano","",IF(M52="","",IF(OR(M52="Nesplněno",M52="3rd party",M52="Neakceptuje",S52="Ne",P52="CHYBÍ odkaz FS"),"FAIL",IF(M52="Akceptuje s výhradou","K VYJASNĚNÍ","PASS"))))</f>
        <v/>
      </c>
      <c r="V52" s="22">
        <f>IF(AND(J52="Byznys (30 %)",G52&lt;&gt;"Ano",ISNUMBER(T52)),T52*Q52,0)</f>
        <v/>
      </c>
      <c r="W52" s="22">
        <f>IF(AND(J52="Byznys (30 %)",G52&lt;&gt;"Ano",F52&lt;&gt;"Won't"),5*Q52,0)</f>
        <v/>
      </c>
      <c r="X52" s="24" t="n"/>
    </row>
    <row r="53">
      <c r="A53" s="18" t="inlineStr">
        <is>
          <t>INT-003</t>
        </is>
      </c>
      <c r="B53" s="18" t="inlineStr">
        <is>
          <t>INT</t>
        </is>
      </c>
      <c r="C53" s="19" t="inlineStr">
        <is>
          <t>Integrace na bankovní ESB (REST/SOAP) pro legacy systémy, které nemají Kafka rozhraní.</t>
        </is>
      </c>
      <c r="D53" s="19" t="inlineStr">
        <is>
          <t>Architektonický standard Banky</t>
        </is>
      </c>
      <c r="E53" s="18" t="inlineStr">
        <is>
          <t>IT</t>
        </is>
      </c>
      <c r="F53" s="18" t="inlineStr">
        <is>
          <t>Should</t>
        </is>
      </c>
      <c r="G53" s="18" t="inlineStr">
        <is>
          <t>Ne</t>
        </is>
      </c>
      <c r="H53" s="19" t="inlineStr">
        <is>
          <t>Ověřeno na rozhraní systému správy aktiv.</t>
        </is>
      </c>
      <c r="I53" s="18" t="inlineStr">
        <is>
          <t>5.3</t>
        </is>
      </c>
      <c r="J53" s="18" t="inlineStr">
        <is>
          <t>Podklad pro FS (20 %)</t>
        </is>
      </c>
      <c r="K53" s="18" t="inlineStr">
        <is>
          <t>Schváleno</t>
        </is>
      </c>
      <c r="L53" s="19" t="inlineStr"/>
      <c r="M53" s="20" t="n"/>
      <c r="N53" s="21" t="n"/>
      <c r="O53" s="20" t="n"/>
      <c r="P53" s="22">
        <f>IF(M53="","",IF(OR(M53="OOTB",M53="Konfigurace",M53="Custom vývoj"),IF(O53="","CHYBÍ odkaz FS","OK"),"N/A"))</f>
        <v/>
      </c>
      <c r="Q53" s="22">
        <f>IF(F53="Must",3,IF(F53="Should",2,IF(F53="Could",1,0)))</f>
        <v/>
      </c>
      <c r="R53" s="22">
        <f>IF(M53="","",IF(M53="OOTB",5,IF(M53="Konfigurace",3,IF(M53="Custom vývoj",1,IF(OR(M53="3rd party",M53="Nesplněno"),0,"")))))</f>
        <v/>
      </c>
      <c r="S53" s="23" t="n"/>
      <c r="T53" s="22">
        <f>IF(R53="","",IF(OR(P53="CHYBÍ odkaz FS",S53="Ne"),0,R53))</f>
        <v/>
      </c>
      <c r="U53" s="22">
        <f>IF(G53&lt;&gt;"Ano","",IF(M53="","",IF(OR(M53="Nesplněno",M53="3rd party",M53="Neakceptuje",S53="Ne",P53="CHYBÍ odkaz FS"),"FAIL",IF(M53="Akceptuje s výhradou","K VYJASNĚNÍ","PASS"))))</f>
        <v/>
      </c>
      <c r="V53" s="22">
        <f>IF(AND(J53="Byznys (30 %)",G53&lt;&gt;"Ano",ISNUMBER(T53)),T53*Q53,0)</f>
        <v/>
      </c>
      <c r="W53" s="22">
        <f>IF(AND(J53="Byznys (30 %)",G53&lt;&gt;"Ano",F53&lt;&gt;"Won't"),5*Q53,0)</f>
        <v/>
      </c>
      <c r="X53" s="24" t="n"/>
    </row>
    <row r="54">
      <c r="A54" s="18" t="inlineStr">
        <is>
          <t>INT-004</t>
        </is>
      </c>
      <c r="B54" s="18" t="inlineStr">
        <is>
          <t>INT</t>
        </is>
      </c>
      <c r="C54" s="19" t="inlineStr">
        <is>
          <t>Synchronní integrace s platebním systémem pro screening a pozastavení plateb (viz SCR-007, TM-006).</t>
        </is>
      </c>
      <c r="D54" s="19" t="inlineStr">
        <is>
          <t>Sankční povinnosti</t>
        </is>
      </c>
      <c r="E54" s="18" t="inlineStr">
        <is>
          <t>IT</t>
        </is>
      </c>
      <c r="F54" s="18" t="inlineStr">
        <is>
          <t>Must</t>
        </is>
      </c>
      <c r="G54" s="18" t="inlineStr">
        <is>
          <t>Ne</t>
        </is>
      </c>
      <c r="H54" s="19" t="inlineStr">
        <is>
          <t>Platební systém dostane odpověď (uvolnit / pozastavit) v limitu NFR-003.</t>
        </is>
      </c>
      <c r="I54" s="18" t="inlineStr">
        <is>
          <t>5.4</t>
        </is>
      </c>
      <c r="J54" s="18" t="inlineStr">
        <is>
          <t>Podklad pro FS (20 %)</t>
        </is>
      </c>
      <c r="K54" s="18" t="inlineStr">
        <is>
          <t>Schváleno</t>
        </is>
      </c>
      <c r="L54" s="19" t="inlineStr"/>
      <c r="M54" s="20" t="n"/>
      <c r="N54" s="21" t="n"/>
      <c r="O54" s="20" t="n"/>
      <c r="P54" s="22">
        <f>IF(M54="","",IF(OR(M54="OOTB",M54="Konfigurace",M54="Custom vývoj"),IF(O54="","CHYBÍ odkaz FS","OK"),"N/A"))</f>
        <v/>
      </c>
      <c r="Q54" s="22">
        <f>IF(F54="Must",3,IF(F54="Should",2,IF(F54="Could",1,0)))</f>
        <v/>
      </c>
      <c r="R54" s="22">
        <f>IF(M54="","",IF(M54="OOTB",5,IF(M54="Konfigurace",3,IF(M54="Custom vývoj",1,IF(OR(M54="3rd party",M54="Nesplněno"),0,"")))))</f>
        <v/>
      </c>
      <c r="S54" s="23" t="n"/>
      <c r="T54" s="22">
        <f>IF(R54="","",IF(OR(P54="CHYBÍ odkaz FS",S54="Ne"),0,R54))</f>
        <v/>
      </c>
      <c r="U54" s="22">
        <f>IF(G54&lt;&gt;"Ano","",IF(M54="","",IF(OR(M54="Nesplněno",M54="3rd party",M54="Neakceptuje",S54="Ne",P54="CHYBÍ odkaz FS"),"FAIL",IF(M54="Akceptuje s výhradou","K VYJASNĚNÍ","PASS"))))</f>
        <v/>
      </c>
      <c r="V54" s="22">
        <f>IF(AND(J54="Byznys (30 %)",G54&lt;&gt;"Ano",ISNUMBER(T54)),T54*Q54,0)</f>
        <v/>
      </c>
      <c r="W54" s="22">
        <f>IF(AND(J54="Byznys (30 %)",G54&lt;&gt;"Ano",F54&lt;&gt;"Won't"),5*Q54,0)</f>
        <v/>
      </c>
      <c r="X54" s="24" t="n"/>
    </row>
    <row r="55">
      <c r="A55" s="18" t="inlineStr">
        <is>
          <t>INT-005</t>
        </is>
      </c>
      <c r="B55" s="18" t="inlineStr">
        <is>
          <t>INT</t>
        </is>
      </c>
      <c r="C55" s="19" t="inlineStr">
        <is>
          <t>Denní export dat (klienti, rizikové profily, alerty, případy) do DWH v dokumentovaném datovém modelu (CSV nebo Parquet).</t>
        </is>
      </c>
      <c r="D55" s="19" t="inlineStr">
        <is>
          <t>Reporting a datová správa</t>
        </is>
      </c>
      <c r="E55" s="18" t="inlineStr">
        <is>
          <t>IT</t>
        </is>
      </c>
      <c r="F55" s="18" t="inlineStr">
        <is>
          <t>Must</t>
        </is>
      </c>
      <c r="G55" s="18" t="inlineStr">
        <is>
          <t>Ne</t>
        </is>
      </c>
      <c r="H55" s="19" t="inlineStr">
        <is>
          <t>Export je k dispozici do 6:00 a obsahuje popis změn modelu mezi verzemi.</t>
        </is>
      </c>
      <c r="I55" s="18" t="inlineStr">
        <is>
          <t>5.5</t>
        </is>
      </c>
      <c r="J55" s="18" t="inlineStr">
        <is>
          <t>Podklad pro FS (20 %)</t>
        </is>
      </c>
      <c r="K55" s="18" t="inlineStr">
        <is>
          <t>Schváleno</t>
        </is>
      </c>
      <c r="L55" s="19" t="inlineStr"/>
      <c r="M55" s="20" t="n"/>
      <c r="N55" s="21" t="n"/>
      <c r="O55" s="20" t="n"/>
      <c r="P55" s="22">
        <f>IF(M55="","",IF(OR(M55="OOTB",M55="Konfigurace",M55="Custom vývoj"),IF(O55="","CHYBÍ odkaz FS","OK"),"N/A"))</f>
        <v/>
      </c>
      <c r="Q55" s="22">
        <f>IF(F55="Must",3,IF(F55="Should",2,IF(F55="Could",1,0)))</f>
        <v/>
      </c>
      <c r="R55" s="22">
        <f>IF(M55="","",IF(M55="OOTB",5,IF(M55="Konfigurace",3,IF(M55="Custom vývoj",1,IF(OR(M55="3rd party",M55="Nesplněno"),0,"")))))</f>
        <v/>
      </c>
      <c r="S55" s="23" t="n"/>
      <c r="T55" s="22">
        <f>IF(R55="","",IF(OR(P55="CHYBÍ odkaz FS",S55="Ne"),0,R55))</f>
        <v/>
      </c>
      <c r="U55" s="22">
        <f>IF(G55&lt;&gt;"Ano","",IF(M55="","",IF(OR(M55="Nesplněno",M55="3rd party",M55="Neakceptuje",S55="Ne",P55="CHYBÍ odkaz FS"),"FAIL",IF(M55="Akceptuje s výhradou","K VYJASNĚNÍ","PASS"))))</f>
        <v/>
      </c>
      <c r="V55" s="22">
        <f>IF(AND(J55="Byznys (30 %)",G55&lt;&gt;"Ano",ISNUMBER(T55)),T55*Q55,0)</f>
        <v/>
      </c>
      <c r="W55" s="22">
        <f>IF(AND(J55="Byznys (30 %)",G55&lt;&gt;"Ano",F55&lt;&gt;"Won't"),5*Q55,0)</f>
        <v/>
      </c>
      <c r="X55" s="24" t="n"/>
    </row>
    <row r="56">
      <c r="A56" s="18" t="inlineStr">
        <is>
          <t>INT-006</t>
        </is>
      </c>
      <c r="B56" s="18" t="inlineStr">
        <is>
          <t>INT</t>
        </is>
      </c>
      <c r="C56" s="19" t="inlineStr">
        <is>
          <t>Napojení na bankovní DMS přes jeho REST API.</t>
        </is>
      </c>
      <c r="D56" s="19" t="inlineStr">
        <is>
          <t>Architektonický princip Banky</t>
        </is>
      </c>
      <c r="E56" s="18" t="inlineStr">
        <is>
          <t>IT</t>
        </is>
      </c>
      <c r="F56" s="18" t="inlineStr">
        <is>
          <t>Should</t>
        </is>
      </c>
      <c r="G56" s="18" t="inlineStr">
        <is>
          <t>Ne</t>
        </is>
      </c>
      <c r="H56" s="19" t="inlineStr">
        <is>
          <t>Viz CAS-006.</t>
        </is>
      </c>
      <c r="I56" s="18" t="inlineStr">
        <is>
          <t>5.5</t>
        </is>
      </c>
      <c r="J56" s="18" t="inlineStr">
        <is>
          <t>Podklad pro FS (20 %)</t>
        </is>
      </c>
      <c r="K56" s="18" t="inlineStr">
        <is>
          <t>Schváleno</t>
        </is>
      </c>
      <c r="L56" s="19" t="inlineStr"/>
      <c r="M56" s="20" t="n"/>
      <c r="N56" s="21" t="n"/>
      <c r="O56" s="20" t="n"/>
      <c r="P56" s="22">
        <f>IF(M56="","",IF(OR(M56="OOTB",M56="Konfigurace",M56="Custom vývoj"),IF(O56="","CHYBÍ odkaz FS","OK"),"N/A"))</f>
        <v/>
      </c>
      <c r="Q56" s="22">
        <f>IF(F56="Must",3,IF(F56="Should",2,IF(F56="Could",1,0)))</f>
        <v/>
      </c>
      <c r="R56" s="22">
        <f>IF(M56="","",IF(M56="OOTB",5,IF(M56="Konfigurace",3,IF(M56="Custom vývoj",1,IF(OR(M56="3rd party",M56="Nesplněno"),0,"")))))</f>
        <v/>
      </c>
      <c r="S56" s="23" t="n"/>
      <c r="T56" s="22">
        <f>IF(R56="","",IF(OR(P56="CHYBÍ odkaz FS",S56="Ne"),0,R56))</f>
        <v/>
      </c>
      <c r="U56" s="22">
        <f>IF(G56&lt;&gt;"Ano","",IF(M56="","",IF(OR(M56="Nesplněno",M56="3rd party",M56="Neakceptuje",S56="Ne",P56="CHYBÍ odkaz FS"),"FAIL",IF(M56="Akceptuje s výhradou","K VYJASNĚNÍ","PASS"))))</f>
        <v/>
      </c>
      <c r="V56" s="22">
        <f>IF(AND(J56="Byznys (30 %)",G56&lt;&gt;"Ano",ISNUMBER(T56)),T56*Q56,0)</f>
        <v/>
      </c>
      <c r="W56" s="22">
        <f>IF(AND(J56="Byznys (30 %)",G56&lt;&gt;"Ano",F56&lt;&gt;"Won't"),5*Q56,0)</f>
        <v/>
      </c>
      <c r="X56" s="24" t="n"/>
    </row>
    <row r="57">
      <c r="A57" s="18" t="inlineStr">
        <is>
          <t>INT-007</t>
        </is>
      </c>
      <c r="B57" s="18" t="inlineStr">
        <is>
          <t>INT</t>
        </is>
      </c>
      <c r="C57" s="19" t="inlineStr">
        <is>
          <t>Předávání bezpečnostních a auditních logů do SIEM Banky (Splunk) v reálném čase.</t>
        </is>
      </c>
      <c r="D57" s="19" t="inlineStr">
        <is>
          <t>DORA čl. 10; bezpečnostní politika Banky</t>
        </is>
      </c>
      <c r="E57" s="18" t="inlineStr">
        <is>
          <t>IT</t>
        </is>
      </c>
      <c r="F57" s="18" t="inlineStr">
        <is>
          <t>Must</t>
        </is>
      </c>
      <c r="G57" s="18" t="inlineStr">
        <is>
          <t>Ne</t>
        </is>
      </c>
      <c r="H57" s="19" t="inlineStr">
        <is>
          <t>Přihlášení, změna oprávnění a změna konfigurace se objeví v SIEM do 1 minuty.</t>
        </is>
      </c>
      <c r="I57" s="18" t="inlineStr">
        <is>
          <t>5.5</t>
        </is>
      </c>
      <c r="J57" s="18" t="inlineStr">
        <is>
          <t>Podklad pro FS (20 %)</t>
        </is>
      </c>
      <c r="K57" s="18" t="inlineStr">
        <is>
          <t>Schváleno</t>
        </is>
      </c>
      <c r="L57" s="19" t="inlineStr"/>
      <c r="M57" s="20" t="n"/>
      <c r="N57" s="21" t="n"/>
      <c r="O57" s="20" t="n"/>
      <c r="P57" s="22">
        <f>IF(M57="","",IF(OR(M57="OOTB",M57="Konfigurace",M57="Custom vývoj"),IF(O57="","CHYBÍ odkaz FS","OK"),"N/A"))</f>
        <v/>
      </c>
      <c r="Q57" s="22">
        <f>IF(F57="Must",3,IF(F57="Should",2,IF(F57="Could",1,0)))</f>
        <v/>
      </c>
      <c r="R57" s="22">
        <f>IF(M57="","",IF(M57="OOTB",5,IF(M57="Konfigurace",3,IF(M57="Custom vývoj",1,IF(OR(M57="3rd party",M57="Nesplněno"),0,"")))))</f>
        <v/>
      </c>
      <c r="S57" s="23" t="n"/>
      <c r="T57" s="22">
        <f>IF(R57="","",IF(OR(P57="CHYBÍ odkaz FS",S57="Ne"),0,R57))</f>
        <v/>
      </c>
      <c r="U57" s="22">
        <f>IF(G57&lt;&gt;"Ano","",IF(M57="","",IF(OR(M57="Nesplněno",M57="3rd party",M57="Neakceptuje",S57="Ne",P57="CHYBÍ odkaz FS"),"FAIL",IF(M57="Akceptuje s výhradou","K VYJASNĚNÍ","PASS"))))</f>
        <v/>
      </c>
      <c r="V57" s="22">
        <f>IF(AND(J57="Byznys (30 %)",G57&lt;&gt;"Ano",ISNUMBER(T57)),T57*Q57,0)</f>
        <v/>
      </c>
      <c r="W57" s="22">
        <f>IF(AND(J57="Byznys (30 %)",G57&lt;&gt;"Ano",F57&lt;&gt;"Won't"),5*Q57,0)</f>
        <v/>
      </c>
      <c r="X57" s="24" t="n"/>
    </row>
    <row r="58">
      <c r="A58" s="18" t="inlineStr">
        <is>
          <t>INT-008</t>
        </is>
      </c>
      <c r="B58" s="18" t="inlineStr">
        <is>
          <t>INT</t>
        </is>
      </c>
      <c r="C58" s="19" t="inlineStr">
        <is>
          <t>Health-check endpointy a provozní metriky pro monitoring Banky (Zabbix / AppDynamics).</t>
        </is>
      </c>
      <c r="D58" s="19" t="inlineStr">
        <is>
          <t>Provozní standard Banky</t>
        </is>
      </c>
      <c r="E58" s="18" t="inlineStr">
        <is>
          <t>IT</t>
        </is>
      </c>
      <c r="F58" s="18" t="inlineStr">
        <is>
          <t>Must</t>
        </is>
      </c>
      <c r="G58" s="18" t="inlineStr">
        <is>
          <t>Ne</t>
        </is>
      </c>
      <c r="H58" s="19" t="inlineStr">
        <is>
          <t>Monitoring Banky zachytí nedostupnost komponenty do 2 minut.</t>
        </is>
      </c>
      <c r="I58" s="18" t="inlineStr">
        <is>
          <t>5.5</t>
        </is>
      </c>
      <c r="J58" s="18" t="inlineStr">
        <is>
          <t>Podklad pro FS (20 %)</t>
        </is>
      </c>
      <c r="K58" s="18" t="inlineStr">
        <is>
          <t>Schváleno</t>
        </is>
      </c>
      <c r="L58" s="19" t="inlineStr"/>
      <c r="M58" s="20" t="n"/>
      <c r="N58" s="21" t="n"/>
      <c r="O58" s="20" t="n"/>
      <c r="P58" s="22">
        <f>IF(M58="","",IF(OR(M58="OOTB",M58="Konfigurace",M58="Custom vývoj"),IF(O58="","CHYBÍ odkaz FS","OK"),"N/A"))</f>
        <v/>
      </c>
      <c r="Q58" s="22">
        <f>IF(F58="Must",3,IF(F58="Should",2,IF(F58="Could",1,0)))</f>
        <v/>
      </c>
      <c r="R58" s="22">
        <f>IF(M58="","",IF(M58="OOTB",5,IF(M58="Konfigurace",3,IF(M58="Custom vývoj",1,IF(OR(M58="3rd party",M58="Nesplněno"),0,"")))))</f>
        <v/>
      </c>
      <c r="S58" s="23" t="n"/>
      <c r="T58" s="22">
        <f>IF(R58="","",IF(OR(P58="CHYBÍ odkaz FS",S58="Ne"),0,R58))</f>
        <v/>
      </c>
      <c r="U58" s="22">
        <f>IF(G58&lt;&gt;"Ano","",IF(M58="","",IF(OR(M58="Nesplněno",M58="3rd party",M58="Neakceptuje",S58="Ne",P58="CHYBÍ odkaz FS"),"FAIL",IF(M58="Akceptuje s výhradou","K VYJASNĚNÍ","PASS"))))</f>
        <v/>
      </c>
      <c r="V58" s="22">
        <f>IF(AND(J58="Byznys (30 %)",G58&lt;&gt;"Ano",ISNUMBER(T58)),T58*Q58,0)</f>
        <v/>
      </c>
      <c r="W58" s="22">
        <f>IF(AND(J58="Byznys (30 %)",G58&lt;&gt;"Ano",F58&lt;&gt;"Won't"),5*Q58,0)</f>
        <v/>
      </c>
      <c r="X58" s="24" t="n"/>
    </row>
    <row r="59">
      <c r="A59" s="18" t="inlineStr">
        <is>
          <t>INT-009</t>
        </is>
      </c>
      <c r="B59" s="18" t="inlineStr">
        <is>
          <t>INT</t>
        </is>
      </c>
      <c r="C59" s="19" t="inlineStr">
        <is>
          <t>API je dokumentováno ve formátu OpenAPI 3, verzováno a zpětně kompatibilní min. 12 měsíců po vydání nové verze.</t>
        </is>
      </c>
      <c r="D59" s="19" t="inlineStr">
        <is>
          <t>Udržitelnost integrací</t>
        </is>
      </c>
      <c r="E59" s="18" t="inlineStr">
        <is>
          <t>IT</t>
        </is>
      </c>
      <c r="F59" s="18" t="inlineStr">
        <is>
          <t>Should</t>
        </is>
      </c>
      <c r="G59" s="18" t="inlineStr">
        <is>
          <t>Ne</t>
        </is>
      </c>
      <c r="H59" s="19" t="inlineStr">
        <is>
          <t>Dodavatel předloží OpenAPI specifikaci jako součást nabídky.</t>
        </is>
      </c>
      <c r="I59" s="18" t="inlineStr">
        <is>
          <t>5.1</t>
        </is>
      </c>
      <c r="J59" s="18" t="inlineStr">
        <is>
          <t>Podklad pro FS (20 %)</t>
        </is>
      </c>
      <c r="K59" s="18" t="inlineStr">
        <is>
          <t>Schváleno</t>
        </is>
      </c>
      <c r="L59" s="19" t="inlineStr"/>
      <c r="M59" s="20" t="n"/>
      <c r="N59" s="21" t="n"/>
      <c r="O59" s="20" t="n"/>
      <c r="P59" s="22">
        <f>IF(M59="","",IF(OR(M59="OOTB",M59="Konfigurace",M59="Custom vývoj"),IF(O59="","CHYBÍ odkaz FS","OK"),"N/A"))</f>
        <v/>
      </c>
      <c r="Q59" s="22">
        <f>IF(F59="Must",3,IF(F59="Should",2,IF(F59="Could",1,0)))</f>
        <v/>
      </c>
      <c r="R59" s="22">
        <f>IF(M59="","",IF(M59="OOTB",5,IF(M59="Konfigurace",3,IF(M59="Custom vývoj",1,IF(OR(M59="3rd party",M59="Nesplněno"),0,"")))))</f>
        <v/>
      </c>
      <c r="S59" s="23" t="n"/>
      <c r="T59" s="22">
        <f>IF(R59="","",IF(OR(P59="CHYBÍ odkaz FS",S59="Ne"),0,R59))</f>
        <v/>
      </c>
      <c r="U59" s="22">
        <f>IF(G59&lt;&gt;"Ano","",IF(M59="","",IF(OR(M59="Nesplněno",M59="3rd party",M59="Neakceptuje",S59="Ne",P59="CHYBÍ odkaz FS"),"FAIL",IF(M59="Akceptuje s výhradou","K VYJASNĚNÍ","PASS"))))</f>
        <v/>
      </c>
      <c r="V59" s="22">
        <f>IF(AND(J59="Byznys (30 %)",G59&lt;&gt;"Ano",ISNUMBER(T59)),T59*Q59,0)</f>
        <v/>
      </c>
      <c r="W59" s="22">
        <f>IF(AND(J59="Byznys (30 %)",G59&lt;&gt;"Ano",F59&lt;&gt;"Won't"),5*Q59,0)</f>
        <v/>
      </c>
      <c r="X59" s="24" t="n"/>
    </row>
    <row r="60">
      <c r="A60" s="18" t="inlineStr">
        <is>
          <t>INT-010</t>
        </is>
      </c>
      <c r="B60" s="18" t="inlineStr">
        <is>
          <t>INT</t>
        </is>
      </c>
      <c r="C60" s="19" t="inlineStr">
        <is>
          <t>Napojení na veřejné registry (ARES, ESM) přes bankovní integrační vrstvu.</t>
        </is>
      </c>
      <c r="D60" s="19" t="inlineStr">
        <is>
          <t>Viz KYC-005, KYC-006</t>
        </is>
      </c>
      <c r="E60" s="18" t="inlineStr">
        <is>
          <t>IT</t>
        </is>
      </c>
      <c r="F60" s="18" t="inlineStr">
        <is>
          <t>Could</t>
        </is>
      </c>
      <c r="G60" s="18" t="inlineStr">
        <is>
          <t>Ne</t>
        </is>
      </c>
      <c r="H60" s="19" t="inlineStr">
        <is>
          <t>Volání registrů jde přes ESB, ne napřímo z aplikace.</t>
        </is>
      </c>
      <c r="I60" s="18" t="inlineStr">
        <is>
          <t>5.6</t>
        </is>
      </c>
      <c r="J60" s="18" t="inlineStr">
        <is>
          <t>Podklad pro FS (20 %)</t>
        </is>
      </c>
      <c r="K60" s="18" t="inlineStr">
        <is>
          <t>Schváleno</t>
        </is>
      </c>
      <c r="L60" s="19" t="inlineStr"/>
      <c r="M60" s="20" t="n"/>
      <c r="N60" s="21" t="n"/>
      <c r="O60" s="20" t="n"/>
      <c r="P60" s="22">
        <f>IF(M60="","",IF(OR(M60="OOTB",M60="Konfigurace",M60="Custom vývoj"),IF(O60="","CHYBÍ odkaz FS","OK"),"N/A"))</f>
        <v/>
      </c>
      <c r="Q60" s="22">
        <f>IF(F60="Must",3,IF(F60="Should",2,IF(F60="Could",1,0)))</f>
        <v/>
      </c>
      <c r="R60" s="22">
        <f>IF(M60="","",IF(M60="OOTB",5,IF(M60="Konfigurace",3,IF(M60="Custom vývoj",1,IF(OR(M60="3rd party",M60="Nesplněno"),0,"")))))</f>
        <v/>
      </c>
      <c r="S60" s="23" t="n"/>
      <c r="T60" s="22">
        <f>IF(R60="","",IF(OR(P60="CHYBÍ odkaz FS",S60="Ne"),0,R60))</f>
        <v/>
      </c>
      <c r="U60" s="22">
        <f>IF(G60&lt;&gt;"Ano","",IF(M60="","",IF(OR(M60="Nesplněno",M60="3rd party",M60="Neakceptuje",S60="Ne",P60="CHYBÍ odkaz FS"),"FAIL",IF(M60="Akceptuje s výhradou","K VYJASNĚNÍ","PASS"))))</f>
        <v/>
      </c>
      <c r="V60" s="22">
        <f>IF(AND(J60="Byznys (30 %)",G60&lt;&gt;"Ano",ISNUMBER(T60)),T60*Q60,0)</f>
        <v/>
      </c>
      <c r="W60" s="22">
        <f>IF(AND(J60="Byznys (30 %)",G60&lt;&gt;"Ano",F60&lt;&gt;"Won't"),5*Q60,0)</f>
        <v/>
      </c>
      <c r="X60" s="24" t="n"/>
    </row>
    <row r="61">
      <c r="A61" s="18" t="inlineStr">
        <is>
          <t>MIG-001</t>
        </is>
      </c>
      <c r="B61" s="18" t="inlineStr">
        <is>
          <t>MIG</t>
        </is>
      </c>
      <c r="C61" s="19" t="inlineStr">
        <is>
          <t>Migrace KYC dat, rizikových profilů, historie screeningu, alertů a případů ze současného AML systému za období 10 let.</t>
        </is>
      </c>
      <c r="D61" s="19" t="inlineStr">
        <is>
          <t>§ 16 z. č. 253/2008 Sb.</t>
        </is>
      </c>
      <c r="E61" s="18" t="inlineStr">
        <is>
          <t>Compliance</t>
        </is>
      </c>
      <c r="F61" s="18" t="inlineStr">
        <is>
          <t>Must</t>
        </is>
      </c>
      <c r="G61" s="18" t="inlineStr">
        <is>
          <t>Ne</t>
        </is>
      </c>
      <c r="H61" s="19" t="inlineStr">
        <is>
          <t>Po migraci je u vzorku 200 klientů dohledatelná celá historie.</t>
        </is>
      </c>
      <c r="I61" s="18" t="inlineStr">
        <is>
          <t>7.2</t>
        </is>
      </c>
      <c r="J61" s="18" t="inlineStr">
        <is>
          <t>Podklad pro FS (20 %)</t>
        </is>
      </c>
      <c r="K61" s="18" t="inlineStr">
        <is>
          <t>Schváleno</t>
        </is>
      </c>
      <c r="L61" s="19" t="inlineStr"/>
      <c r="M61" s="20" t="n"/>
      <c r="N61" s="21" t="n"/>
      <c r="O61" s="20" t="n"/>
      <c r="P61" s="22">
        <f>IF(M61="","",IF(OR(M61="OOTB",M61="Konfigurace",M61="Custom vývoj"),IF(O61="","CHYBÍ odkaz FS","OK"),"N/A"))</f>
        <v/>
      </c>
      <c r="Q61" s="22">
        <f>IF(F61="Must",3,IF(F61="Should",2,IF(F61="Could",1,0)))</f>
        <v/>
      </c>
      <c r="R61" s="22">
        <f>IF(M61="","",IF(M61="OOTB",5,IF(M61="Konfigurace",3,IF(M61="Custom vývoj",1,IF(OR(M61="3rd party",M61="Nesplněno"),0,"")))))</f>
        <v/>
      </c>
      <c r="S61" s="23" t="n"/>
      <c r="T61" s="22">
        <f>IF(R61="","",IF(OR(P61="CHYBÍ odkaz FS",S61="Ne"),0,R61))</f>
        <v/>
      </c>
      <c r="U61" s="22">
        <f>IF(G61&lt;&gt;"Ano","",IF(M61="","",IF(OR(M61="Nesplněno",M61="3rd party",M61="Neakceptuje",S61="Ne",P61="CHYBÍ odkaz FS"),"FAIL",IF(M61="Akceptuje s výhradou","K VYJASNĚNÍ","PASS"))))</f>
        <v/>
      </c>
      <c r="V61" s="22">
        <f>IF(AND(J61="Byznys (30 %)",G61&lt;&gt;"Ano",ISNUMBER(T61)),T61*Q61,0)</f>
        <v/>
      </c>
      <c r="W61" s="22">
        <f>IF(AND(J61="Byznys (30 %)",G61&lt;&gt;"Ano",F61&lt;&gt;"Won't"),5*Q61,0)</f>
        <v/>
      </c>
      <c r="X61" s="24" t="n"/>
    </row>
    <row r="62">
      <c r="A62" s="18" t="inlineStr">
        <is>
          <t>MIG-002</t>
        </is>
      </c>
      <c r="B62" s="18" t="inlineStr">
        <is>
          <t>MIG</t>
        </is>
      </c>
      <c r="C62" s="19" t="inlineStr">
        <is>
          <t>Přechod bez přerušení onboardingu a screeningu: souběžný provoz obou systémů min. 4 týdny s porovnáním výsledků.</t>
        </is>
      </c>
      <c r="D62" s="19" t="inlineStr">
        <is>
          <t>Kontinuita služeb; DORA čl. 11</t>
        </is>
      </c>
      <c r="E62" s="18" t="inlineStr">
        <is>
          <t>IT</t>
        </is>
      </c>
      <c r="F62" s="18" t="inlineStr">
        <is>
          <t>Must</t>
        </is>
      </c>
      <c r="G62" s="18" t="inlineStr">
        <is>
          <t>Ne</t>
        </is>
      </c>
      <c r="H62" s="19" t="inlineStr">
        <is>
          <t>Odchylky výsledků screeningu mezi systémy jsou vysvětleny před vypnutím starého systému.</t>
        </is>
      </c>
      <c r="I62" s="18" t="inlineStr">
        <is>
          <t>7.3</t>
        </is>
      </c>
      <c r="J62" s="18" t="inlineStr">
        <is>
          <t>Podklad pro FS (20 %)</t>
        </is>
      </c>
      <c r="K62" s="18" t="inlineStr">
        <is>
          <t>Schváleno</t>
        </is>
      </c>
      <c r="L62" s="19" t="inlineStr"/>
      <c r="M62" s="20" t="n"/>
      <c r="N62" s="21" t="n"/>
      <c r="O62" s="20" t="n"/>
      <c r="P62" s="22">
        <f>IF(M62="","",IF(OR(M62="OOTB",M62="Konfigurace",M62="Custom vývoj"),IF(O62="","CHYBÍ odkaz FS","OK"),"N/A"))</f>
        <v/>
      </c>
      <c r="Q62" s="22">
        <f>IF(F62="Must",3,IF(F62="Should",2,IF(F62="Could",1,0)))</f>
        <v/>
      </c>
      <c r="R62" s="22">
        <f>IF(M62="","",IF(M62="OOTB",5,IF(M62="Konfigurace",3,IF(M62="Custom vývoj",1,IF(OR(M62="3rd party",M62="Nesplněno"),0,"")))))</f>
        <v/>
      </c>
      <c r="S62" s="23" t="n"/>
      <c r="T62" s="22">
        <f>IF(R62="","",IF(OR(P62="CHYBÍ odkaz FS",S62="Ne"),0,R62))</f>
        <v/>
      </c>
      <c r="U62" s="22">
        <f>IF(G62&lt;&gt;"Ano","",IF(M62="","",IF(OR(M62="Nesplněno",M62="3rd party",M62="Neakceptuje",S62="Ne",P62="CHYBÍ odkaz FS"),"FAIL",IF(M62="Akceptuje s výhradou","K VYJASNĚNÍ","PASS"))))</f>
        <v/>
      </c>
      <c r="V62" s="22">
        <f>IF(AND(J62="Byznys (30 %)",G62&lt;&gt;"Ano",ISNUMBER(T62)),T62*Q62,0)</f>
        <v/>
      </c>
      <c r="W62" s="22">
        <f>IF(AND(J62="Byznys (30 %)",G62&lt;&gt;"Ano",F62&lt;&gt;"Won't"),5*Q62,0)</f>
        <v/>
      </c>
      <c r="X62" s="24" t="n"/>
    </row>
    <row r="63">
      <c r="A63" s="18" t="inlineStr">
        <is>
          <t>MIG-003</t>
        </is>
      </c>
      <c r="B63" s="18" t="inlineStr">
        <is>
          <t>MIG</t>
        </is>
      </c>
      <c r="C63" s="19" t="inlineStr">
        <is>
          <t>Dodavatel zajistí datové mapování, profilaci a reporting kvality dat; opravu dat provádí Banka s nástroji dodavatele.</t>
        </is>
      </c>
      <c r="D63" s="19" t="inlineStr">
        <is>
          <t>Rozdělení odpovědnosti</t>
        </is>
      </c>
      <c r="E63" s="18" t="inlineStr">
        <is>
          <t>IT</t>
        </is>
      </c>
      <c r="F63" s="18" t="inlineStr">
        <is>
          <t>Should</t>
        </is>
      </c>
      <c r="G63" s="18" t="inlineStr">
        <is>
          <t>Ne</t>
        </is>
      </c>
      <c r="H63" s="19" t="inlineStr">
        <is>
          <t>Report kvality dat je k dispozici po každém zkušebním běhu migrace.</t>
        </is>
      </c>
      <c r="I63" s="18" t="inlineStr">
        <is>
          <t>7.2</t>
        </is>
      </c>
      <c r="J63" s="18" t="inlineStr">
        <is>
          <t>Podklad pro FS (20 %)</t>
        </is>
      </c>
      <c r="K63" s="18" t="inlineStr">
        <is>
          <t>Schváleno</t>
        </is>
      </c>
      <c r="L63" s="19" t="inlineStr"/>
      <c r="M63" s="20" t="n"/>
      <c r="N63" s="21" t="n"/>
      <c r="O63" s="20" t="n"/>
      <c r="P63" s="22">
        <f>IF(M63="","",IF(OR(M63="OOTB",M63="Konfigurace",M63="Custom vývoj"),IF(O63="","CHYBÍ odkaz FS","OK"),"N/A"))</f>
        <v/>
      </c>
      <c r="Q63" s="22">
        <f>IF(F63="Must",3,IF(F63="Should",2,IF(F63="Could",1,0)))</f>
        <v/>
      </c>
      <c r="R63" s="22">
        <f>IF(M63="","",IF(M63="OOTB",5,IF(M63="Konfigurace",3,IF(M63="Custom vývoj",1,IF(OR(M63="3rd party",M63="Nesplněno"),0,"")))))</f>
        <v/>
      </c>
      <c r="S63" s="23" t="n"/>
      <c r="T63" s="22">
        <f>IF(R63="","",IF(OR(P63="CHYBÍ odkaz FS",S63="Ne"),0,R63))</f>
        <v/>
      </c>
      <c r="U63" s="22">
        <f>IF(G63&lt;&gt;"Ano","",IF(M63="","",IF(OR(M63="Nesplněno",M63="3rd party",M63="Neakceptuje",S63="Ne",P63="CHYBÍ odkaz FS"),"FAIL",IF(M63="Akceptuje s výhradou","K VYJASNĚNÍ","PASS"))))</f>
        <v/>
      </c>
      <c r="V63" s="22">
        <f>IF(AND(J63="Byznys (30 %)",G63&lt;&gt;"Ano",ISNUMBER(T63)),T63*Q63,0)</f>
        <v/>
      </c>
      <c r="W63" s="22">
        <f>IF(AND(J63="Byznys (30 %)",G63&lt;&gt;"Ano",F63&lt;&gt;"Won't"),5*Q63,0)</f>
        <v/>
      </c>
      <c r="X63" s="24" t="n"/>
    </row>
    <row r="64">
      <c r="A64" s="18" t="inlineStr">
        <is>
          <t>MIG-004</t>
        </is>
      </c>
      <c r="B64" s="18" t="inlineStr">
        <is>
          <t>MIG</t>
        </is>
      </c>
      <c r="C64" s="19" t="inlineStr">
        <is>
          <t>Rekonciliace 100 % migrovaných záznamů kontrolními součty a počty, s protokolem podepsaným Bankou i dodavatelem.</t>
        </is>
      </c>
      <c r="D64" s="19" t="inlineStr">
        <is>
          <t>Auditovatelnost migrace</t>
        </is>
      </c>
      <c r="E64" s="18" t="inlineStr">
        <is>
          <t>Compliance</t>
        </is>
      </c>
      <c r="F64" s="18" t="inlineStr">
        <is>
          <t>Must</t>
        </is>
      </c>
      <c r="G64" s="18" t="inlineStr">
        <is>
          <t>Ne</t>
        </is>
      </c>
      <c r="H64" s="19" t="inlineStr">
        <is>
          <t>Protokol rekonciliace je podmínkou go-live.</t>
        </is>
      </c>
      <c r="I64" s="18" t="inlineStr">
        <is>
          <t>7.2</t>
        </is>
      </c>
      <c r="J64" s="18" t="inlineStr">
        <is>
          <t>Podklad pro FS (20 %)</t>
        </is>
      </c>
      <c r="K64" s="18" t="inlineStr">
        <is>
          <t>Schváleno</t>
        </is>
      </c>
      <c r="L64" s="19" t="inlineStr"/>
      <c r="M64" s="20" t="n"/>
      <c r="N64" s="21" t="n"/>
      <c r="O64" s="20" t="n"/>
      <c r="P64" s="22">
        <f>IF(M64="","",IF(OR(M64="OOTB",M64="Konfigurace",M64="Custom vývoj"),IF(O64="","CHYBÍ odkaz FS","OK"),"N/A"))</f>
        <v/>
      </c>
      <c r="Q64" s="22">
        <f>IF(F64="Must",3,IF(F64="Should",2,IF(F64="Could",1,0)))</f>
        <v/>
      </c>
      <c r="R64" s="22">
        <f>IF(M64="","",IF(M64="OOTB",5,IF(M64="Konfigurace",3,IF(M64="Custom vývoj",1,IF(OR(M64="3rd party",M64="Nesplněno"),0,"")))))</f>
        <v/>
      </c>
      <c r="S64" s="23" t="n"/>
      <c r="T64" s="22">
        <f>IF(R64="","",IF(OR(P64="CHYBÍ odkaz FS",S64="Ne"),0,R64))</f>
        <v/>
      </c>
      <c r="U64" s="22">
        <f>IF(G64&lt;&gt;"Ano","",IF(M64="","",IF(OR(M64="Nesplněno",M64="3rd party",M64="Neakceptuje",S64="Ne",P64="CHYBÍ odkaz FS"),"FAIL",IF(M64="Akceptuje s výhradou","K VYJASNĚNÍ","PASS"))))</f>
        <v/>
      </c>
      <c r="V64" s="22">
        <f>IF(AND(J64="Byznys (30 %)",G64&lt;&gt;"Ano",ISNUMBER(T64)),T64*Q64,0)</f>
        <v/>
      </c>
      <c r="W64" s="22">
        <f>IF(AND(J64="Byznys (30 %)",G64&lt;&gt;"Ano",F64&lt;&gt;"Won't"),5*Q64,0)</f>
        <v/>
      </c>
      <c r="X64" s="24" t="n"/>
    </row>
    <row r="65">
      <c r="A65" s="18" t="inlineStr">
        <is>
          <t>MIG-005</t>
        </is>
      </c>
      <c r="B65" s="18" t="inlineStr">
        <is>
          <t>MIG</t>
        </is>
      </c>
      <c r="C65" s="19" t="inlineStr">
        <is>
          <t>Plán návratu (rollback) pro každou fázi přechodu.</t>
        </is>
      </c>
      <c r="D65" s="19" t="inlineStr">
        <is>
          <t>Řízení rizik</t>
        </is>
      </c>
      <c r="E65" s="18" t="inlineStr">
        <is>
          <t>IT</t>
        </is>
      </c>
      <c r="F65" s="18" t="inlineStr">
        <is>
          <t>Must</t>
        </is>
      </c>
      <c r="G65" s="18" t="inlineStr">
        <is>
          <t>Ne</t>
        </is>
      </c>
      <c r="H65" s="19" t="inlineStr">
        <is>
          <t>Rollback je vyzkoušen na PreProd prostředí.</t>
        </is>
      </c>
      <c r="I65" s="18" t="inlineStr">
        <is>
          <t>7.3</t>
        </is>
      </c>
      <c r="J65" s="18" t="inlineStr">
        <is>
          <t>Podklad pro FS (20 %)</t>
        </is>
      </c>
      <c r="K65" s="18" t="inlineStr">
        <is>
          <t>Schváleno</t>
        </is>
      </c>
      <c r="L65" s="19" t="inlineStr"/>
      <c r="M65" s="20" t="n"/>
      <c r="N65" s="21" t="n"/>
      <c r="O65" s="20" t="n"/>
      <c r="P65" s="22">
        <f>IF(M65="","",IF(OR(M65="OOTB",M65="Konfigurace",M65="Custom vývoj"),IF(O65="","CHYBÍ odkaz FS","OK"),"N/A"))</f>
        <v/>
      </c>
      <c r="Q65" s="22">
        <f>IF(F65="Must",3,IF(F65="Should",2,IF(F65="Could",1,0)))</f>
        <v/>
      </c>
      <c r="R65" s="22">
        <f>IF(M65="","",IF(M65="OOTB",5,IF(M65="Konfigurace",3,IF(M65="Custom vývoj",1,IF(OR(M65="3rd party",M65="Nesplněno"),0,"")))))</f>
        <v/>
      </c>
      <c r="S65" s="23" t="n"/>
      <c r="T65" s="22">
        <f>IF(R65="","",IF(OR(P65="CHYBÍ odkaz FS",S65="Ne"),0,R65))</f>
        <v/>
      </c>
      <c r="U65" s="22">
        <f>IF(G65&lt;&gt;"Ano","",IF(M65="","",IF(OR(M65="Nesplněno",M65="3rd party",M65="Neakceptuje",S65="Ne",P65="CHYBÍ odkaz FS"),"FAIL",IF(M65="Akceptuje s výhradou","K VYJASNĚNÍ","PASS"))))</f>
        <v/>
      </c>
      <c r="V65" s="22">
        <f>IF(AND(J65="Byznys (30 %)",G65&lt;&gt;"Ano",ISNUMBER(T65)),T65*Q65,0)</f>
        <v/>
      </c>
      <c r="W65" s="22">
        <f>IF(AND(J65="Byznys (30 %)",G65&lt;&gt;"Ano",F65&lt;&gt;"Won't"),5*Q65,0)</f>
        <v/>
      </c>
      <c r="X65" s="24" t="n"/>
    </row>
    <row r="66">
      <c r="A66" s="18" t="inlineStr">
        <is>
          <t>NFR-001</t>
        </is>
      </c>
      <c r="B66" s="18" t="inlineStr">
        <is>
          <t>NFR</t>
        </is>
      </c>
      <c r="C66" s="19" t="inlineStr">
        <is>
          <t>Dostupnost produkce 99,9 % měsíčně, měřená end-to-end syntetickými transakcemi z monitoringu Banky (viz Příloha 4 – SLA).</t>
        </is>
      </c>
      <c r="D66" s="19" t="inlineStr">
        <is>
          <t>Kritická funkce Banky</t>
        </is>
      </c>
      <c r="E66" s="18" t="inlineStr">
        <is>
          <t>IT</t>
        </is>
      </c>
      <c r="F66" s="18" t="inlineStr">
        <is>
          <t>Must</t>
        </is>
      </c>
      <c r="G66" s="18" t="inlineStr">
        <is>
          <t>Ne</t>
        </is>
      </c>
      <c r="H66" s="19" t="inlineStr">
        <is>
          <t>Dodavatel akceptuje metodiku měření dle Přílohy 4.</t>
        </is>
      </c>
      <c r="I66" s="18" t="inlineStr">
        <is>
          <t>8.1</t>
        </is>
      </c>
      <c r="J66" s="18" t="inlineStr">
        <is>
          <t>Podklad pro FS (20 %)</t>
        </is>
      </c>
      <c r="K66" s="18" t="inlineStr">
        <is>
          <t>Schváleno</t>
        </is>
      </c>
      <c r="L66" s="19" t="inlineStr"/>
      <c r="M66" s="20" t="n"/>
      <c r="N66" s="21" t="n"/>
      <c r="O66" s="20" t="n"/>
      <c r="P66" s="22">
        <f>IF(M66="","",IF(OR(M66="OOTB",M66="Konfigurace",M66="Custom vývoj"),IF(O66="","CHYBÍ odkaz FS","OK"),"N/A"))</f>
        <v/>
      </c>
      <c r="Q66" s="22">
        <f>IF(F66="Must",3,IF(F66="Should",2,IF(F66="Could",1,0)))</f>
        <v/>
      </c>
      <c r="R66" s="22">
        <f>IF(M66="","",IF(M66="OOTB",5,IF(M66="Konfigurace",3,IF(M66="Custom vývoj",1,IF(OR(M66="3rd party",M66="Nesplněno"),0,"")))))</f>
        <v/>
      </c>
      <c r="S66" s="23" t="n"/>
      <c r="T66" s="22">
        <f>IF(R66="","",IF(OR(P66="CHYBÍ odkaz FS",S66="Ne"),0,R66))</f>
        <v/>
      </c>
      <c r="U66" s="22">
        <f>IF(G66&lt;&gt;"Ano","",IF(M66="","",IF(OR(M66="Nesplněno",M66="3rd party",M66="Neakceptuje",S66="Ne",P66="CHYBÍ odkaz FS"),"FAIL",IF(M66="Akceptuje s výhradou","K VYJASNĚNÍ","PASS"))))</f>
        <v/>
      </c>
      <c r="V66" s="22">
        <f>IF(AND(J66="Byznys (30 %)",G66&lt;&gt;"Ano",ISNUMBER(T66)),T66*Q66,0)</f>
        <v/>
      </c>
      <c r="W66" s="22">
        <f>IF(AND(J66="Byznys (30 %)",G66&lt;&gt;"Ano",F66&lt;&gt;"Won't"),5*Q66,0)</f>
        <v/>
      </c>
      <c r="X66" s="24" t="n"/>
    </row>
    <row r="67">
      <c r="A67" s="18" t="inlineStr">
        <is>
          <t>NFR-002</t>
        </is>
      </c>
      <c r="B67" s="18" t="inlineStr">
        <is>
          <t>NFR</t>
        </is>
      </c>
      <c r="C67" s="19" t="inlineStr">
        <is>
          <t>RTO ≤ 4 hodiny a RPO ≤ 15 minut pro produkční prostředí; test obnovy min. 1× ročně.</t>
        </is>
      </c>
      <c r="D67" s="19" t="inlineStr">
        <is>
          <t>DORA čl. 11 a 12</t>
        </is>
      </c>
      <c r="E67" s="18" t="inlineStr">
        <is>
          <t>IT</t>
        </is>
      </c>
      <c r="F67" s="18" t="inlineStr">
        <is>
          <t>Must</t>
        </is>
      </c>
      <c r="G67" s="18" t="inlineStr">
        <is>
          <t>Ne</t>
        </is>
      </c>
      <c r="H67" s="19" t="inlineStr">
        <is>
          <t>Výsledek testu obnovy je doložen protokolem.</t>
        </is>
      </c>
      <c r="I67" s="18" t="inlineStr">
        <is>
          <t>3.4</t>
        </is>
      </c>
      <c r="J67" s="18" t="inlineStr">
        <is>
          <t>Podklad pro FS (20 %)</t>
        </is>
      </c>
      <c r="K67" s="18" t="inlineStr">
        <is>
          <t>Schváleno</t>
        </is>
      </c>
      <c r="L67" s="19" t="inlineStr"/>
      <c r="M67" s="20" t="n"/>
      <c r="N67" s="21" t="n"/>
      <c r="O67" s="20" t="n"/>
      <c r="P67" s="22">
        <f>IF(M67="","",IF(OR(M67="OOTB",M67="Konfigurace",M67="Custom vývoj"),IF(O67="","CHYBÍ odkaz FS","OK"),"N/A"))</f>
        <v/>
      </c>
      <c r="Q67" s="22">
        <f>IF(F67="Must",3,IF(F67="Should",2,IF(F67="Could",1,0)))</f>
        <v/>
      </c>
      <c r="R67" s="22">
        <f>IF(M67="","",IF(M67="OOTB",5,IF(M67="Konfigurace",3,IF(M67="Custom vývoj",1,IF(OR(M67="3rd party",M67="Nesplněno"),0,"")))))</f>
        <v/>
      </c>
      <c r="S67" s="23" t="n"/>
      <c r="T67" s="22">
        <f>IF(R67="","",IF(OR(P67="CHYBÍ odkaz FS",S67="Ne"),0,R67))</f>
        <v/>
      </c>
      <c r="U67" s="22">
        <f>IF(G67&lt;&gt;"Ano","",IF(M67="","",IF(OR(M67="Nesplněno",M67="3rd party",M67="Neakceptuje",S67="Ne",P67="CHYBÍ odkaz FS"),"FAIL",IF(M67="Akceptuje s výhradou","K VYJASNĚNÍ","PASS"))))</f>
        <v/>
      </c>
      <c r="V67" s="22">
        <f>IF(AND(J67="Byznys (30 %)",G67&lt;&gt;"Ano",ISNUMBER(T67)),T67*Q67,0)</f>
        <v/>
      </c>
      <c r="W67" s="22">
        <f>IF(AND(J67="Byznys (30 %)",G67&lt;&gt;"Ano",F67&lt;&gt;"Won't"),5*Q67,0)</f>
        <v/>
      </c>
      <c r="X67" s="24" t="n"/>
    </row>
    <row r="68">
      <c r="A68" s="18" t="inlineStr">
        <is>
          <t>NFR-003</t>
        </is>
      </c>
      <c r="B68" s="18" t="inlineStr">
        <is>
          <t>NFR</t>
        </is>
      </c>
      <c r="C68" s="19" t="inlineStr">
        <is>
          <t>Výkon: online screening subjektu ≤ 2 s (P95), screening platby ≤ 500 ms (P95), noční re-screening 60 000 subjektů ≤ 1 hodina, zpracování 1,5 mil. transakcí ročně.</t>
        </is>
      </c>
      <c r="D68" s="19" t="inlineStr">
        <is>
          <t>Objemy Banky (viz RFP kap. 4)</t>
        </is>
      </c>
      <c r="E68" s="18" t="inlineStr">
        <is>
          <t>IT</t>
        </is>
      </c>
      <c r="F68" s="18" t="inlineStr">
        <is>
          <t>Must</t>
        </is>
      </c>
      <c r="G68" s="18" t="inlineStr">
        <is>
          <t>Ne</t>
        </is>
      </c>
      <c r="H68" s="19" t="inlineStr">
        <is>
          <t>Výkonnostní test na PreProd prostředí s objemem +20 %.</t>
        </is>
      </c>
      <c r="I68" s="18" t="inlineStr">
        <is>
          <t>3.4</t>
        </is>
      </c>
      <c r="J68" s="18" t="inlineStr">
        <is>
          <t>Podklad pro FS (20 %)</t>
        </is>
      </c>
      <c r="K68" s="18" t="inlineStr">
        <is>
          <t>Schváleno</t>
        </is>
      </c>
      <c r="L68" s="19" t="inlineStr"/>
      <c r="M68" s="20" t="n"/>
      <c r="N68" s="21" t="n"/>
      <c r="O68" s="20" t="n"/>
      <c r="P68" s="22">
        <f>IF(M68="","",IF(OR(M68="OOTB",M68="Konfigurace",M68="Custom vývoj"),IF(O68="","CHYBÍ odkaz FS","OK"),"N/A"))</f>
        <v/>
      </c>
      <c r="Q68" s="22">
        <f>IF(F68="Must",3,IF(F68="Should",2,IF(F68="Could",1,0)))</f>
        <v/>
      </c>
      <c r="R68" s="22">
        <f>IF(M68="","",IF(M68="OOTB",5,IF(M68="Konfigurace",3,IF(M68="Custom vývoj",1,IF(OR(M68="3rd party",M68="Nesplněno"),0,"")))))</f>
        <v/>
      </c>
      <c r="S68" s="23" t="n"/>
      <c r="T68" s="22">
        <f>IF(R68="","",IF(OR(P68="CHYBÍ odkaz FS",S68="Ne"),0,R68))</f>
        <v/>
      </c>
      <c r="U68" s="22">
        <f>IF(G68&lt;&gt;"Ano","",IF(M68="","",IF(OR(M68="Nesplněno",M68="3rd party",M68="Neakceptuje",S68="Ne",P68="CHYBÍ odkaz FS"),"FAIL",IF(M68="Akceptuje s výhradou","K VYJASNĚNÍ","PASS"))))</f>
        <v/>
      </c>
      <c r="V68" s="22">
        <f>IF(AND(J68="Byznys (30 %)",G68&lt;&gt;"Ano",ISNUMBER(T68)),T68*Q68,0)</f>
        <v/>
      </c>
      <c r="W68" s="22">
        <f>IF(AND(J68="Byznys (30 %)",G68&lt;&gt;"Ano",F68&lt;&gt;"Won't"),5*Q68,0)</f>
        <v/>
      </c>
      <c r="X68" s="24" t="n"/>
    </row>
    <row r="69">
      <c r="A69" s="18" t="inlineStr">
        <is>
          <t>NFR-004</t>
        </is>
      </c>
      <c r="B69" s="18" t="inlineStr">
        <is>
          <t>NFR</t>
        </is>
      </c>
      <c r="C69" s="19" t="inlineStr">
        <is>
          <t>Škálovatelnost na dvojnásobek objemů bez změny architektury.</t>
        </is>
      </c>
      <c r="D69" s="19" t="inlineStr">
        <is>
          <t>Růstová strategie Banky</t>
        </is>
      </c>
      <c r="E69" s="18" t="inlineStr">
        <is>
          <t>IT</t>
        </is>
      </c>
      <c r="F69" s="18" t="inlineStr">
        <is>
          <t>Should</t>
        </is>
      </c>
      <c r="G69" s="18" t="inlineStr">
        <is>
          <t>Ne</t>
        </is>
      </c>
      <c r="H69" s="19" t="inlineStr">
        <is>
          <t>Dodavatel popíše způsob škálování a jeho cenový dopad.</t>
        </is>
      </c>
      <c r="I69" s="18" t="inlineStr">
        <is>
          <t>3.4</t>
        </is>
      </c>
      <c r="J69" s="18" t="inlineStr">
        <is>
          <t>Podklad pro FS (20 %)</t>
        </is>
      </c>
      <c r="K69" s="18" t="inlineStr">
        <is>
          <t>Schváleno</t>
        </is>
      </c>
      <c r="L69" s="19" t="inlineStr"/>
      <c r="M69" s="20" t="n"/>
      <c r="N69" s="21" t="n"/>
      <c r="O69" s="20" t="n"/>
      <c r="P69" s="22">
        <f>IF(M69="","",IF(OR(M69="OOTB",M69="Konfigurace",M69="Custom vývoj"),IF(O69="","CHYBÍ odkaz FS","OK"),"N/A"))</f>
        <v/>
      </c>
      <c r="Q69" s="22">
        <f>IF(F69="Must",3,IF(F69="Should",2,IF(F69="Could",1,0)))</f>
        <v/>
      </c>
      <c r="R69" s="22">
        <f>IF(M69="","",IF(M69="OOTB",5,IF(M69="Konfigurace",3,IF(M69="Custom vývoj",1,IF(OR(M69="3rd party",M69="Nesplněno"),0,"")))))</f>
        <v/>
      </c>
      <c r="S69" s="23" t="n"/>
      <c r="T69" s="22">
        <f>IF(R69="","",IF(OR(P69="CHYBÍ odkaz FS",S69="Ne"),0,R69))</f>
        <v/>
      </c>
      <c r="U69" s="22">
        <f>IF(G69&lt;&gt;"Ano","",IF(M69="","",IF(OR(M69="Nesplněno",M69="3rd party",M69="Neakceptuje",S69="Ne",P69="CHYBÍ odkaz FS"),"FAIL",IF(M69="Akceptuje s výhradou","K VYJASNĚNÍ","PASS"))))</f>
        <v/>
      </c>
      <c r="V69" s="22">
        <f>IF(AND(J69="Byznys (30 %)",G69&lt;&gt;"Ano",ISNUMBER(T69)),T69*Q69,0)</f>
        <v/>
      </c>
      <c r="W69" s="22">
        <f>IF(AND(J69="Byznys (30 %)",G69&lt;&gt;"Ano",F69&lt;&gt;"Won't"),5*Q69,0)</f>
        <v/>
      </c>
      <c r="X69" s="24" t="n"/>
    </row>
    <row r="70">
      <c r="A70" s="18" t="inlineStr">
        <is>
          <t>NFR-005</t>
        </is>
      </c>
      <c r="B70" s="18" t="inlineStr">
        <is>
          <t>NFR</t>
        </is>
      </c>
      <c r="C70" s="19" t="inlineStr">
        <is>
          <t>Prostředí DEV, SIT, UAT, PreProd (výkonnostní), PROD a DR.</t>
        </is>
      </c>
      <c r="D70" s="19" t="inlineStr">
        <is>
          <t>Standard Banky pro řízení změn</t>
        </is>
      </c>
      <c r="E70" s="18" t="inlineStr">
        <is>
          <t>IT</t>
        </is>
      </c>
      <c r="F70" s="18" t="inlineStr">
        <is>
          <t>Must</t>
        </is>
      </c>
      <c r="G70" s="18" t="inlineStr">
        <is>
          <t>Ne</t>
        </is>
      </c>
      <c r="H70" s="19" t="inlineStr">
        <is>
          <t>Všechna prostředí jsou oceněna v cenové šabloně.</t>
        </is>
      </c>
      <c r="I70" s="18" t="inlineStr">
        <is>
          <t>3.2</t>
        </is>
      </c>
      <c r="J70" s="18" t="inlineStr">
        <is>
          <t>Podklad pro FS (20 %)</t>
        </is>
      </c>
      <c r="K70" s="18" t="inlineStr">
        <is>
          <t>Schváleno</t>
        </is>
      </c>
      <c r="L70" s="19" t="inlineStr"/>
      <c r="M70" s="20" t="n"/>
      <c r="N70" s="21" t="n"/>
      <c r="O70" s="20" t="n"/>
      <c r="P70" s="22">
        <f>IF(M70="","",IF(OR(M70="OOTB",M70="Konfigurace",M70="Custom vývoj"),IF(O70="","CHYBÍ odkaz FS","OK"),"N/A"))</f>
        <v/>
      </c>
      <c r="Q70" s="22">
        <f>IF(F70="Must",3,IF(F70="Should",2,IF(F70="Could",1,0)))</f>
        <v/>
      </c>
      <c r="R70" s="22">
        <f>IF(M70="","",IF(M70="OOTB",5,IF(M70="Konfigurace",3,IF(M70="Custom vývoj",1,IF(OR(M70="3rd party",M70="Nesplněno"),0,"")))))</f>
        <v/>
      </c>
      <c r="S70" s="23" t="n"/>
      <c r="T70" s="22">
        <f>IF(R70="","",IF(OR(P70="CHYBÍ odkaz FS",S70="Ne"),0,R70))</f>
        <v/>
      </c>
      <c r="U70" s="22">
        <f>IF(G70&lt;&gt;"Ano","",IF(M70="","",IF(OR(M70="Nesplněno",M70="3rd party",M70="Neakceptuje",S70="Ne",P70="CHYBÍ odkaz FS"),"FAIL",IF(M70="Akceptuje s výhradou","K VYJASNĚNÍ","PASS"))))</f>
        <v/>
      </c>
      <c r="V70" s="22">
        <f>IF(AND(J70="Byznys (30 %)",G70&lt;&gt;"Ano",ISNUMBER(T70)),T70*Q70,0)</f>
        <v/>
      </c>
      <c r="W70" s="22">
        <f>IF(AND(J70="Byznys (30 %)",G70&lt;&gt;"Ano",F70&lt;&gt;"Won't"),5*Q70,0)</f>
        <v/>
      </c>
      <c r="X70" s="24" t="n"/>
    </row>
    <row r="71">
      <c r="A71" s="18" t="inlineStr">
        <is>
          <t>NFR-006</t>
        </is>
      </c>
      <c r="B71" s="18" t="inlineStr">
        <is>
          <t>NFR</t>
        </is>
      </c>
      <c r="C71" s="19" t="inlineStr">
        <is>
          <t>Provoz on-premise v datových centrech Banky nebo v privátním cloudu; data a zálohy výhradně v EU/EHP.</t>
        </is>
      </c>
      <c r="D71" s="19" t="inlineStr">
        <is>
          <t>Bezpečnostní politika Banky; GDPR; DORA</t>
        </is>
      </c>
      <c r="E71" s="18" t="inlineStr">
        <is>
          <t>IT</t>
        </is>
      </c>
      <c r="F71" s="18" t="inlineStr">
        <is>
          <t>Must</t>
        </is>
      </c>
      <c r="G71" s="25" t="inlineStr">
        <is>
          <t>Ano</t>
        </is>
      </c>
      <c r="H71" s="19" t="inlineStr">
        <is>
          <t>Dodavatel uvede lokality zpracování všech dat včetně záloh a podpory.</t>
        </is>
      </c>
      <c r="I71" s="18" t="inlineStr">
        <is>
          <t>3.1</t>
        </is>
      </c>
      <c r="J71" s="18" t="inlineStr">
        <is>
          <t>K.O. (Pass/Fail)</t>
        </is>
      </c>
      <c r="K71" s="18" t="inlineStr">
        <is>
          <t>Schváleno</t>
        </is>
      </c>
      <c r="L71" s="19" t="inlineStr"/>
      <c r="M71" s="20" t="n"/>
      <c r="N71" s="21" t="n"/>
      <c r="O71" s="20" t="n"/>
      <c r="P71" s="22">
        <f>IF(M71="","",IF(OR(M71="OOTB",M71="Konfigurace",M71="Custom vývoj"),IF(O71="","CHYBÍ odkaz FS","OK"),"N/A"))</f>
        <v/>
      </c>
      <c r="Q71" s="22">
        <f>IF(F71="Must",3,IF(F71="Should",2,IF(F71="Could",1,0)))</f>
        <v/>
      </c>
      <c r="R71" s="22">
        <f>IF(M71="","",IF(M71="OOTB",5,IF(M71="Konfigurace",3,IF(M71="Custom vývoj",1,IF(OR(M71="3rd party",M71="Nesplněno"),0,"")))))</f>
        <v/>
      </c>
      <c r="S71" s="23" t="n"/>
      <c r="T71" s="22">
        <f>IF(R71="","",IF(OR(P71="CHYBÍ odkaz FS",S71="Ne"),0,R71))</f>
        <v/>
      </c>
      <c r="U71" s="22">
        <f>IF(G71&lt;&gt;"Ano","",IF(M71="","",IF(OR(M71="Nesplněno",M71="3rd party",M71="Neakceptuje",S71="Ne",P71="CHYBÍ odkaz FS"),"FAIL",IF(M71="Akceptuje s výhradou","K VYJASNĚNÍ","PASS"))))</f>
        <v/>
      </c>
      <c r="V71" s="22">
        <f>IF(AND(J71="Byznys (30 %)",G71&lt;&gt;"Ano",ISNUMBER(T71)),T71*Q71,0)</f>
        <v/>
      </c>
      <c r="W71" s="22">
        <f>IF(AND(J71="Byznys (30 %)",G71&lt;&gt;"Ano",F71&lt;&gt;"Won't"),5*Q71,0)</f>
        <v/>
      </c>
      <c r="X71" s="24" t="n"/>
    </row>
    <row r="72">
      <c r="A72" s="18" t="inlineStr">
        <is>
          <t>NFR-007</t>
        </is>
      </c>
      <c r="B72" s="18" t="inlineStr">
        <is>
          <t>NFR</t>
        </is>
      </c>
      <c r="C72" s="19" t="inlineStr">
        <is>
          <t>Vysoká dostupnost mezi dvěma datovými centry Banky (active-passive).</t>
        </is>
      </c>
      <c r="D72" s="19" t="inlineStr">
        <is>
          <t>DORA čl. 12</t>
        </is>
      </c>
      <c r="E72" s="18" t="inlineStr">
        <is>
          <t>IT</t>
        </is>
      </c>
      <c r="F72" s="18" t="inlineStr">
        <is>
          <t>Must</t>
        </is>
      </c>
      <c r="G72" s="18" t="inlineStr">
        <is>
          <t>Ne</t>
        </is>
      </c>
      <c r="H72" s="19" t="inlineStr">
        <is>
          <t>Přepnutí na záložní DC proběhne do 4 hodin.</t>
        </is>
      </c>
      <c r="I72" s="18" t="inlineStr">
        <is>
          <t>3.4</t>
        </is>
      </c>
      <c r="J72" s="18" t="inlineStr">
        <is>
          <t>Podklad pro FS (20 %)</t>
        </is>
      </c>
      <c r="K72" s="18" t="inlineStr">
        <is>
          <t>Schváleno</t>
        </is>
      </c>
      <c r="L72" s="19" t="inlineStr"/>
      <c r="M72" s="20" t="n"/>
      <c r="N72" s="21" t="n"/>
      <c r="O72" s="20" t="n"/>
      <c r="P72" s="22">
        <f>IF(M72="","",IF(OR(M72="OOTB",M72="Konfigurace",M72="Custom vývoj"),IF(O72="","CHYBÍ odkaz FS","OK"),"N/A"))</f>
        <v/>
      </c>
      <c r="Q72" s="22">
        <f>IF(F72="Must",3,IF(F72="Should",2,IF(F72="Could",1,0)))</f>
        <v/>
      </c>
      <c r="R72" s="22">
        <f>IF(M72="","",IF(M72="OOTB",5,IF(M72="Konfigurace",3,IF(M72="Custom vývoj",1,IF(OR(M72="3rd party",M72="Nesplněno"),0,"")))))</f>
        <v/>
      </c>
      <c r="S72" s="23" t="n"/>
      <c r="T72" s="22">
        <f>IF(R72="","",IF(OR(P72="CHYBÍ odkaz FS",S72="Ne"),0,R72))</f>
        <v/>
      </c>
      <c r="U72" s="22">
        <f>IF(G72&lt;&gt;"Ano","",IF(M72="","",IF(OR(M72="Nesplněno",M72="3rd party",M72="Neakceptuje",S72="Ne",P72="CHYBÍ odkaz FS"),"FAIL",IF(M72="Akceptuje s výhradou","K VYJASNĚNÍ","PASS"))))</f>
        <v/>
      </c>
      <c r="V72" s="22">
        <f>IF(AND(J72="Byznys (30 %)",G72&lt;&gt;"Ano",ISNUMBER(T72)),T72*Q72,0)</f>
        <v/>
      </c>
      <c r="W72" s="22">
        <f>IF(AND(J72="Byznys (30 %)",G72&lt;&gt;"Ano",F72&lt;&gt;"Won't"),5*Q72,0)</f>
        <v/>
      </c>
      <c r="X72" s="24" t="n"/>
    </row>
    <row r="73">
      <c r="A73" s="18" t="inlineStr">
        <is>
          <t>NFR-008</t>
        </is>
      </c>
      <c r="B73" s="18" t="inlineStr">
        <is>
          <t>NFR</t>
        </is>
      </c>
      <c r="C73" s="19" t="inlineStr">
        <is>
          <t>Uživatelské rozhraní v češtině a angličtině.</t>
        </is>
      </c>
      <c r="D73" s="19" t="inlineStr">
        <is>
          <t>Uživatelé Banky</t>
        </is>
      </c>
      <c r="E73" s="18" t="inlineStr">
        <is>
          <t>Obchod</t>
        </is>
      </c>
      <c r="F73" s="18" t="inlineStr">
        <is>
          <t>Should</t>
        </is>
      </c>
      <c r="G73" s="18" t="inlineStr">
        <is>
          <t>Ne</t>
        </is>
      </c>
      <c r="H73" s="19" t="inlineStr">
        <is>
          <t>Uživatel si volí jazyk v profilu.</t>
        </is>
      </c>
      <c r="I73" s="18" t="inlineStr">
        <is>
          <t>6.1</t>
        </is>
      </c>
      <c r="J73" s="18" t="inlineStr">
        <is>
          <t>Podklad pro FS (20 %)</t>
        </is>
      </c>
      <c r="K73" s="18" t="inlineStr">
        <is>
          <t>Schváleno</t>
        </is>
      </c>
      <c r="L73" s="19" t="inlineStr"/>
      <c r="M73" s="20" t="n"/>
      <c r="N73" s="21" t="n"/>
      <c r="O73" s="20" t="n"/>
      <c r="P73" s="22">
        <f>IF(M73="","",IF(OR(M73="OOTB",M73="Konfigurace",M73="Custom vývoj"),IF(O73="","CHYBÍ odkaz FS","OK"),"N/A"))</f>
        <v/>
      </c>
      <c r="Q73" s="22">
        <f>IF(F73="Must",3,IF(F73="Should",2,IF(F73="Could",1,0)))</f>
        <v/>
      </c>
      <c r="R73" s="22">
        <f>IF(M73="","",IF(M73="OOTB",5,IF(M73="Konfigurace",3,IF(M73="Custom vývoj",1,IF(OR(M73="3rd party",M73="Nesplněno"),0,"")))))</f>
        <v/>
      </c>
      <c r="S73" s="23" t="n"/>
      <c r="T73" s="22">
        <f>IF(R73="","",IF(OR(P73="CHYBÍ odkaz FS",S73="Ne"),0,R73))</f>
        <v/>
      </c>
      <c r="U73" s="22">
        <f>IF(G73&lt;&gt;"Ano","",IF(M73="","",IF(OR(M73="Nesplněno",M73="3rd party",M73="Neakceptuje",S73="Ne",P73="CHYBÍ odkaz FS"),"FAIL",IF(M73="Akceptuje s výhradou","K VYJASNĚNÍ","PASS"))))</f>
        <v/>
      </c>
      <c r="V73" s="22">
        <f>IF(AND(J73="Byznys (30 %)",G73&lt;&gt;"Ano",ISNUMBER(T73)),T73*Q73,0)</f>
        <v/>
      </c>
      <c r="W73" s="22">
        <f>IF(AND(J73="Byznys (30 %)",G73&lt;&gt;"Ano",F73&lt;&gt;"Won't"),5*Q73,0)</f>
        <v/>
      </c>
      <c r="X73" s="24" t="n"/>
    </row>
    <row r="74">
      <c r="A74" s="18" t="inlineStr">
        <is>
          <t>NFR-009</t>
        </is>
      </c>
      <c r="B74" s="18" t="inlineStr">
        <is>
          <t>NFR</t>
        </is>
      </c>
      <c r="C74" s="19" t="inlineStr">
        <is>
          <t>Podpora 150 pojmenovaných a 60 souběžných uživatelů (obchod, zákaznická podpora, Compliance).</t>
        </is>
      </c>
      <c r="D74" s="19" t="inlineStr">
        <is>
          <t>Uživatelé Banky</t>
        </is>
      </c>
      <c r="E74" s="18" t="inlineStr">
        <is>
          <t>IT</t>
        </is>
      </c>
      <c r="F74" s="18" t="inlineStr">
        <is>
          <t>Must</t>
        </is>
      </c>
      <c r="G74" s="18" t="inlineStr">
        <is>
          <t>Ne</t>
        </is>
      </c>
      <c r="H74" s="19" t="inlineStr">
        <is>
          <t>Výkonnostní test s 60 souběžnými uživateli.</t>
        </is>
      </c>
      <c r="I74" s="18" t="inlineStr">
        <is>
          <t>3.4</t>
        </is>
      </c>
      <c r="J74" s="18" t="inlineStr">
        <is>
          <t>Podklad pro FS (20 %)</t>
        </is>
      </c>
      <c r="K74" s="18" t="inlineStr">
        <is>
          <t>Schváleno</t>
        </is>
      </c>
      <c r="L74" s="19" t="inlineStr"/>
      <c r="M74" s="20" t="n"/>
      <c r="N74" s="21" t="n"/>
      <c r="O74" s="20" t="n"/>
      <c r="P74" s="22">
        <f>IF(M74="","",IF(OR(M74="OOTB",M74="Konfigurace",M74="Custom vývoj"),IF(O74="","CHYBÍ odkaz FS","OK"),"N/A"))</f>
        <v/>
      </c>
      <c r="Q74" s="22">
        <f>IF(F74="Must",3,IF(F74="Should",2,IF(F74="Could",1,0)))</f>
        <v/>
      </c>
      <c r="R74" s="22">
        <f>IF(M74="","",IF(M74="OOTB",5,IF(M74="Konfigurace",3,IF(M74="Custom vývoj",1,IF(OR(M74="3rd party",M74="Nesplněno"),0,"")))))</f>
        <v/>
      </c>
      <c r="S74" s="23" t="n"/>
      <c r="T74" s="22">
        <f>IF(R74="","",IF(OR(P74="CHYBÍ odkaz FS",S74="Ne"),0,R74))</f>
        <v/>
      </c>
      <c r="U74" s="22">
        <f>IF(G74&lt;&gt;"Ano","",IF(M74="","",IF(OR(M74="Nesplněno",M74="3rd party",M74="Neakceptuje",S74="Ne",P74="CHYBÍ odkaz FS"),"FAIL",IF(M74="Akceptuje s výhradou","K VYJASNĚNÍ","PASS"))))</f>
        <v/>
      </c>
      <c r="V74" s="22">
        <f>IF(AND(J74="Byznys (30 %)",G74&lt;&gt;"Ano",ISNUMBER(T74)),T74*Q74,0)</f>
        <v/>
      </c>
      <c r="W74" s="22">
        <f>IF(AND(J74="Byznys (30 %)",G74&lt;&gt;"Ano",F74&lt;&gt;"Won't"),5*Q74,0)</f>
        <v/>
      </c>
      <c r="X74" s="24" t="n"/>
    </row>
    <row r="75">
      <c r="A75" s="18" t="inlineStr">
        <is>
          <t>SEC-001</t>
        </is>
      </c>
      <c r="B75" s="18" t="inlineStr">
        <is>
          <t>SEC</t>
        </is>
      </c>
      <c r="C75" s="19" t="inlineStr">
        <is>
          <t>Systém podporuje SAML 2.0 / OIDC pro jednotné přihlášení (SSO) přes bankovní IAM.</t>
        </is>
      </c>
      <c r="D75" s="19" t="inlineStr">
        <is>
          <t>Bezpečnostní politika Banky</t>
        </is>
      </c>
      <c r="E75" s="18" t="inlineStr">
        <is>
          <t>IT</t>
        </is>
      </c>
      <c r="F75" s="18" t="inlineStr">
        <is>
          <t>Must</t>
        </is>
      </c>
      <c r="G75" s="25" t="inlineStr">
        <is>
          <t>Ano</t>
        </is>
      </c>
      <c r="H75" s="19" t="inlineStr">
        <is>
          <t>Přihlášení přes IAM Banky ověřeno v SIT.</t>
        </is>
      </c>
      <c r="I75" s="18" t="inlineStr">
        <is>
          <t>4.2</t>
        </is>
      </c>
      <c r="J75" s="18" t="inlineStr">
        <is>
          <t>K.O. (Pass/Fail)</t>
        </is>
      </c>
      <c r="K75" s="18" t="inlineStr">
        <is>
          <t>Schváleno</t>
        </is>
      </c>
      <c r="L75" s="19" t="inlineStr"/>
      <c r="M75" s="20" t="n"/>
      <c r="N75" s="21" t="n"/>
      <c r="O75" s="20" t="n"/>
      <c r="P75" s="22">
        <f>IF(M75="","",IF(OR(M75="OOTB",M75="Konfigurace",M75="Custom vývoj"),IF(O75="","CHYBÍ odkaz FS","OK"),"N/A"))</f>
        <v/>
      </c>
      <c r="Q75" s="22">
        <f>IF(F75="Must",3,IF(F75="Should",2,IF(F75="Could",1,0)))</f>
        <v/>
      </c>
      <c r="R75" s="22">
        <f>IF(M75="","",IF(M75="OOTB",5,IF(M75="Konfigurace",3,IF(M75="Custom vývoj",1,IF(OR(M75="3rd party",M75="Nesplněno"),0,"")))))</f>
        <v/>
      </c>
      <c r="S75" s="23" t="n"/>
      <c r="T75" s="22">
        <f>IF(R75="","",IF(OR(P75="CHYBÍ odkaz FS",S75="Ne"),0,R75))</f>
        <v/>
      </c>
      <c r="U75" s="22">
        <f>IF(G75&lt;&gt;"Ano","",IF(M75="","",IF(OR(M75="Nesplněno",M75="3rd party",M75="Neakceptuje",S75="Ne",P75="CHYBÍ odkaz FS"),"FAIL",IF(M75="Akceptuje s výhradou","K VYJASNĚNÍ","PASS"))))</f>
        <v/>
      </c>
      <c r="V75" s="22">
        <f>IF(AND(J75="Byznys (30 %)",G75&lt;&gt;"Ano",ISNUMBER(T75)),T75*Q75,0)</f>
        <v/>
      </c>
      <c r="W75" s="22">
        <f>IF(AND(J75="Byznys (30 %)",G75&lt;&gt;"Ano",F75&lt;&gt;"Won't"),5*Q75,0)</f>
        <v/>
      </c>
      <c r="X75" s="24" t="n"/>
    </row>
    <row r="76">
      <c r="A76" s="18" t="inlineStr">
        <is>
          <t>SEC-002</t>
        </is>
      </c>
      <c r="B76" s="18" t="inlineStr">
        <is>
          <t>SEC</t>
        </is>
      </c>
      <c r="C76" s="19" t="inlineStr">
        <is>
          <t>Řízení přístupu na základě rolí (RBAC) s granularitou na funkci a datový rozsah (segment, pobočka); report pro pravidelnou recertifikaci oprávnění.</t>
        </is>
      </c>
      <c r="D76" s="19" t="inlineStr">
        <is>
          <t>DORA čl. 9; GDPR čl. 32</t>
        </is>
      </c>
      <c r="E76" s="18" t="inlineStr">
        <is>
          <t>IT</t>
        </is>
      </c>
      <c r="F76" s="18" t="inlineStr">
        <is>
          <t>Must</t>
        </is>
      </c>
      <c r="G76" s="18" t="inlineStr">
        <is>
          <t>Ne</t>
        </is>
      </c>
      <c r="H76" s="19" t="inlineStr">
        <is>
          <t>Obchodník vidí pouze své klienty; report oprávnění lze exportovat.</t>
        </is>
      </c>
      <c r="I76" s="18" t="inlineStr">
        <is>
          <t>4.1</t>
        </is>
      </c>
      <c r="J76" s="18" t="inlineStr">
        <is>
          <t>Podklad pro FS (20 %)</t>
        </is>
      </c>
      <c r="K76" s="18" t="inlineStr">
        <is>
          <t>Schváleno</t>
        </is>
      </c>
      <c r="L76" s="19" t="inlineStr"/>
      <c r="M76" s="20" t="n"/>
      <c r="N76" s="21" t="n"/>
      <c r="O76" s="20" t="n"/>
      <c r="P76" s="22">
        <f>IF(M76="","",IF(OR(M76="OOTB",M76="Konfigurace",M76="Custom vývoj"),IF(O76="","CHYBÍ odkaz FS","OK"),"N/A"))</f>
        <v/>
      </c>
      <c r="Q76" s="22">
        <f>IF(F76="Must",3,IF(F76="Should",2,IF(F76="Could",1,0)))</f>
        <v/>
      </c>
      <c r="R76" s="22">
        <f>IF(M76="","",IF(M76="OOTB",5,IF(M76="Konfigurace",3,IF(M76="Custom vývoj",1,IF(OR(M76="3rd party",M76="Nesplněno"),0,"")))))</f>
        <v/>
      </c>
      <c r="S76" s="23" t="n"/>
      <c r="T76" s="22">
        <f>IF(R76="","",IF(OR(P76="CHYBÍ odkaz FS",S76="Ne"),0,R76))</f>
        <v/>
      </c>
      <c r="U76" s="22">
        <f>IF(G76&lt;&gt;"Ano","",IF(M76="","",IF(OR(M76="Nesplněno",M76="3rd party",M76="Neakceptuje",S76="Ne",P76="CHYBÍ odkaz FS"),"FAIL",IF(M76="Akceptuje s výhradou","K VYJASNĚNÍ","PASS"))))</f>
        <v/>
      </c>
      <c r="V76" s="22">
        <f>IF(AND(J76="Byznys (30 %)",G76&lt;&gt;"Ano",ISNUMBER(T76)),T76*Q76,0)</f>
        <v/>
      </c>
      <c r="W76" s="22">
        <f>IF(AND(J76="Byznys (30 %)",G76&lt;&gt;"Ano",F76&lt;&gt;"Won't"),5*Q76,0)</f>
        <v/>
      </c>
      <c r="X76" s="24" t="n"/>
    </row>
    <row r="77">
      <c r="A77" s="18" t="inlineStr">
        <is>
          <t>SEC-003</t>
        </is>
      </c>
      <c r="B77" s="18" t="inlineStr">
        <is>
          <t>SEC</t>
        </is>
      </c>
      <c r="C77" s="19" t="inlineStr">
        <is>
          <t>Šifrování dat v klidu (AES-256) a při přenosu (TLS 1.2 a vyšší); šifrovací klíče spravuje Banka (HSM/KMS).</t>
        </is>
      </c>
      <c r="D77" s="19" t="inlineStr">
        <is>
          <t>DORA čl. 9; GDPR čl. 32</t>
        </is>
      </c>
      <c r="E77" s="18" t="inlineStr">
        <is>
          <t>IT</t>
        </is>
      </c>
      <c r="F77" s="18" t="inlineStr">
        <is>
          <t>Must</t>
        </is>
      </c>
      <c r="G77" s="18" t="inlineStr">
        <is>
          <t>Ne</t>
        </is>
      </c>
      <c r="H77" s="19" t="inlineStr">
        <is>
          <t>Dodavatel doloží konfiguraci šifrování a správy klíčů.</t>
        </is>
      </c>
      <c r="I77" s="18" t="inlineStr">
        <is>
          <t>4.3</t>
        </is>
      </c>
      <c r="J77" s="18" t="inlineStr">
        <is>
          <t>Podklad pro FS (20 %)</t>
        </is>
      </c>
      <c r="K77" s="18" t="inlineStr">
        <is>
          <t>Schváleno</t>
        </is>
      </c>
      <c r="L77" s="19" t="inlineStr"/>
      <c r="M77" s="20" t="n"/>
      <c r="N77" s="21" t="n"/>
      <c r="O77" s="20" t="n"/>
      <c r="P77" s="22">
        <f>IF(M77="","",IF(OR(M77="OOTB",M77="Konfigurace",M77="Custom vývoj"),IF(O77="","CHYBÍ odkaz FS","OK"),"N/A"))</f>
        <v/>
      </c>
      <c r="Q77" s="22">
        <f>IF(F77="Must",3,IF(F77="Should",2,IF(F77="Could",1,0)))</f>
        <v/>
      </c>
      <c r="R77" s="22">
        <f>IF(M77="","",IF(M77="OOTB",5,IF(M77="Konfigurace",3,IF(M77="Custom vývoj",1,IF(OR(M77="3rd party",M77="Nesplněno"),0,"")))))</f>
        <v/>
      </c>
      <c r="S77" s="23" t="n"/>
      <c r="T77" s="22">
        <f>IF(R77="","",IF(OR(P77="CHYBÍ odkaz FS",S77="Ne"),0,R77))</f>
        <v/>
      </c>
      <c r="U77" s="22">
        <f>IF(G77&lt;&gt;"Ano","",IF(M77="","",IF(OR(M77="Nesplněno",M77="3rd party",M77="Neakceptuje",S77="Ne",P77="CHYBÍ odkaz FS"),"FAIL",IF(M77="Akceptuje s výhradou","K VYJASNĚNÍ","PASS"))))</f>
        <v/>
      </c>
      <c r="V77" s="22">
        <f>IF(AND(J77="Byznys (30 %)",G77&lt;&gt;"Ano",ISNUMBER(T77)),T77*Q77,0)</f>
        <v/>
      </c>
      <c r="W77" s="22">
        <f>IF(AND(J77="Byznys (30 %)",G77&lt;&gt;"Ano",F77&lt;&gt;"Won't"),5*Q77,0)</f>
        <v/>
      </c>
      <c r="X77" s="24" t="n"/>
    </row>
    <row r="78">
      <c r="A78" s="18" t="inlineStr">
        <is>
          <t>SEC-004</t>
        </is>
      </c>
      <c r="B78" s="18" t="inlineStr">
        <is>
          <t>SEC</t>
        </is>
      </c>
      <c r="C78" s="19" t="inlineStr">
        <is>
          <t>Auditní a bezpečnostní logy jsou neměnné (append-only) a uchovávané po dobu určenou Bankou.</t>
        </is>
      </c>
      <c r="D78" s="19" t="inlineStr">
        <is>
          <t>DORA čl. 12; § 16 z. č. 253/2008 Sb.</t>
        </is>
      </c>
      <c r="E78" s="18" t="inlineStr">
        <is>
          <t>IT</t>
        </is>
      </c>
      <c r="F78" s="18" t="inlineStr">
        <is>
          <t>Must</t>
        </is>
      </c>
      <c r="G78" s="18" t="inlineStr">
        <is>
          <t>Ne</t>
        </is>
      </c>
      <c r="H78" s="19" t="inlineStr">
        <is>
          <t>Pokus o změnu logu je detekován a hlášen do SIEM.</t>
        </is>
      </c>
      <c r="I78" s="18" t="inlineStr">
        <is>
          <t>4.4</t>
        </is>
      </c>
      <c r="J78" s="18" t="inlineStr">
        <is>
          <t>Podklad pro FS (20 %)</t>
        </is>
      </c>
      <c r="K78" s="18" t="inlineStr">
        <is>
          <t>Schváleno</t>
        </is>
      </c>
      <c r="L78" s="19" t="inlineStr"/>
      <c r="M78" s="20" t="n"/>
      <c r="N78" s="21" t="n"/>
      <c r="O78" s="20" t="n"/>
      <c r="P78" s="22">
        <f>IF(M78="","",IF(OR(M78="OOTB",M78="Konfigurace",M78="Custom vývoj"),IF(O78="","CHYBÍ odkaz FS","OK"),"N/A"))</f>
        <v/>
      </c>
      <c r="Q78" s="22">
        <f>IF(F78="Must",3,IF(F78="Should",2,IF(F78="Could",1,0)))</f>
        <v/>
      </c>
      <c r="R78" s="22">
        <f>IF(M78="","",IF(M78="OOTB",5,IF(M78="Konfigurace",3,IF(M78="Custom vývoj",1,IF(OR(M78="3rd party",M78="Nesplněno"),0,"")))))</f>
        <v/>
      </c>
      <c r="S78" s="23" t="n"/>
      <c r="T78" s="22">
        <f>IF(R78="","",IF(OR(P78="CHYBÍ odkaz FS",S78="Ne"),0,R78))</f>
        <v/>
      </c>
      <c r="U78" s="22">
        <f>IF(G78&lt;&gt;"Ano","",IF(M78="","",IF(OR(M78="Nesplněno",M78="3rd party",M78="Neakceptuje",S78="Ne",P78="CHYBÍ odkaz FS"),"FAIL",IF(M78="Akceptuje s výhradou","K VYJASNĚNÍ","PASS"))))</f>
        <v/>
      </c>
      <c r="V78" s="22">
        <f>IF(AND(J78="Byznys (30 %)",G78&lt;&gt;"Ano",ISNUMBER(T78)),T78*Q78,0)</f>
        <v/>
      </c>
      <c r="W78" s="22">
        <f>IF(AND(J78="Byznys (30 %)",G78&lt;&gt;"Ano",F78&lt;&gt;"Won't"),5*Q78,0)</f>
        <v/>
      </c>
      <c r="X78" s="24" t="n"/>
    </row>
    <row r="79">
      <c r="A79" s="18" t="inlineStr">
        <is>
          <t>SEC-005</t>
        </is>
      </c>
      <c r="B79" s="18" t="inlineStr">
        <is>
          <t>SEC</t>
        </is>
      </c>
      <c r="C79" s="19" t="inlineStr">
        <is>
          <t>Vícefaktorové ověření a správa privilegovaných účtů přes PAM řešení Banky.</t>
        </is>
      </c>
      <c r="D79" s="19" t="inlineStr">
        <is>
          <t>Bezpečnostní politika Banky</t>
        </is>
      </c>
      <c r="E79" s="18" t="inlineStr">
        <is>
          <t>IT</t>
        </is>
      </c>
      <c r="F79" s="18" t="inlineStr">
        <is>
          <t>Must</t>
        </is>
      </c>
      <c r="G79" s="18" t="inlineStr">
        <is>
          <t>Ne</t>
        </is>
      </c>
      <c r="H79" s="19" t="inlineStr">
        <is>
          <t>Administrátorský přístup je možný jen přes PAM.</t>
        </is>
      </c>
      <c r="I79" s="18" t="inlineStr">
        <is>
          <t>4.2</t>
        </is>
      </c>
      <c r="J79" s="18" t="inlineStr">
        <is>
          <t>Podklad pro FS (20 %)</t>
        </is>
      </c>
      <c r="K79" s="18" t="inlineStr">
        <is>
          <t>Schváleno</t>
        </is>
      </c>
      <c r="L79" s="19" t="inlineStr"/>
      <c r="M79" s="20" t="n"/>
      <c r="N79" s="21" t="n"/>
      <c r="O79" s="20" t="n"/>
      <c r="P79" s="22">
        <f>IF(M79="","",IF(OR(M79="OOTB",M79="Konfigurace",M79="Custom vývoj"),IF(O79="","CHYBÍ odkaz FS","OK"),"N/A"))</f>
        <v/>
      </c>
      <c r="Q79" s="22">
        <f>IF(F79="Must",3,IF(F79="Should",2,IF(F79="Could",1,0)))</f>
        <v/>
      </c>
      <c r="R79" s="22">
        <f>IF(M79="","",IF(M79="OOTB",5,IF(M79="Konfigurace",3,IF(M79="Custom vývoj",1,IF(OR(M79="3rd party",M79="Nesplněno"),0,"")))))</f>
        <v/>
      </c>
      <c r="S79" s="23" t="n"/>
      <c r="T79" s="22">
        <f>IF(R79="","",IF(OR(P79="CHYBÍ odkaz FS",S79="Ne"),0,R79))</f>
        <v/>
      </c>
      <c r="U79" s="22">
        <f>IF(G79&lt;&gt;"Ano","",IF(M79="","",IF(OR(M79="Nesplněno",M79="3rd party",M79="Neakceptuje",S79="Ne",P79="CHYBÍ odkaz FS"),"FAIL",IF(M79="Akceptuje s výhradou","K VYJASNĚNÍ","PASS"))))</f>
        <v/>
      </c>
      <c r="V79" s="22">
        <f>IF(AND(J79="Byznys (30 %)",G79&lt;&gt;"Ano",ISNUMBER(T79)),T79*Q79,0)</f>
        <v/>
      </c>
      <c r="W79" s="22">
        <f>IF(AND(J79="Byznys (30 %)",G79&lt;&gt;"Ano",F79&lt;&gt;"Won't"),5*Q79,0)</f>
        <v/>
      </c>
      <c r="X79" s="24" t="n"/>
    </row>
    <row r="80">
      <c r="A80" s="18" t="inlineStr">
        <is>
          <t>SEC-006</t>
        </is>
      </c>
      <c r="B80" s="18" t="inlineStr">
        <is>
          <t>SEC</t>
        </is>
      </c>
      <c r="C80" s="19" t="inlineStr">
        <is>
          <t>Dodavatel umožní penetrační testy Banky min. 1× ročně a účast v penetračních testech řízených hrozbami (TLPT).</t>
        </is>
      </c>
      <c r="D80" s="19" t="inlineStr">
        <is>
          <t>DORA čl. 24–26</t>
        </is>
      </c>
      <c r="E80" s="18" t="inlineStr">
        <is>
          <t>IT</t>
        </is>
      </c>
      <c r="F80" s="18" t="inlineStr">
        <is>
          <t>Must</t>
        </is>
      </c>
      <c r="G80" s="18" t="inlineStr">
        <is>
          <t>Ne</t>
        </is>
      </c>
      <c r="H80" s="19" t="inlineStr">
        <is>
          <t>Smluvně zakotveno; harmonogram testů v FS.</t>
        </is>
      </c>
      <c r="I80" s="18" t="inlineStr">
        <is>
          <t>4.5</t>
        </is>
      </c>
      <c r="J80" s="18" t="inlineStr">
        <is>
          <t>Podklad pro FS (20 %)</t>
        </is>
      </c>
      <c r="K80" s="18" t="inlineStr">
        <is>
          <t>Schváleno</t>
        </is>
      </c>
      <c r="L80" s="19" t="inlineStr"/>
      <c r="M80" s="20" t="n"/>
      <c r="N80" s="21" t="n"/>
      <c r="O80" s="20" t="n"/>
      <c r="P80" s="22">
        <f>IF(M80="","",IF(OR(M80="OOTB",M80="Konfigurace",M80="Custom vývoj"),IF(O80="","CHYBÍ odkaz FS","OK"),"N/A"))</f>
        <v/>
      </c>
      <c r="Q80" s="22">
        <f>IF(F80="Must",3,IF(F80="Should",2,IF(F80="Could",1,0)))</f>
        <v/>
      </c>
      <c r="R80" s="22">
        <f>IF(M80="","",IF(M80="OOTB",5,IF(M80="Konfigurace",3,IF(M80="Custom vývoj",1,IF(OR(M80="3rd party",M80="Nesplněno"),0,"")))))</f>
        <v/>
      </c>
      <c r="S80" s="23" t="n"/>
      <c r="T80" s="22">
        <f>IF(R80="","",IF(OR(P80="CHYBÍ odkaz FS",S80="Ne"),0,R80))</f>
        <v/>
      </c>
      <c r="U80" s="22">
        <f>IF(G80&lt;&gt;"Ano","",IF(M80="","",IF(OR(M80="Nesplněno",M80="3rd party",M80="Neakceptuje",S80="Ne",P80="CHYBÍ odkaz FS"),"FAIL",IF(M80="Akceptuje s výhradou","K VYJASNĚNÍ","PASS"))))</f>
        <v/>
      </c>
      <c r="V80" s="22">
        <f>IF(AND(J80="Byznys (30 %)",G80&lt;&gt;"Ano",ISNUMBER(T80)),T80*Q80,0)</f>
        <v/>
      </c>
      <c r="W80" s="22">
        <f>IF(AND(J80="Byznys (30 %)",G80&lt;&gt;"Ano",F80&lt;&gt;"Won't"),5*Q80,0)</f>
        <v/>
      </c>
      <c r="X80" s="24" t="n"/>
    </row>
    <row r="81">
      <c r="A81" s="18" t="inlineStr">
        <is>
          <t>SEC-007</t>
        </is>
      </c>
      <c r="B81" s="18" t="inlineStr">
        <is>
          <t>SEC</t>
        </is>
      </c>
      <c r="C81" s="19" t="inlineStr">
        <is>
          <t>Oprava zranitelností v dodaném software: kritické (CVSS ≥ 9,0) do 5 pracovních dnů, vysoké (7,0–8,9) do 30 dnů, bez dalších poplatků.</t>
        </is>
      </c>
      <c r="D81" s="19" t="inlineStr">
        <is>
          <t>DORA čl. 9; bezpečnostní politika Banky</t>
        </is>
      </c>
      <c r="E81" s="18" t="inlineStr">
        <is>
          <t>IT</t>
        </is>
      </c>
      <c r="F81" s="18" t="inlineStr">
        <is>
          <t>Must</t>
        </is>
      </c>
      <c r="G81" s="18" t="inlineStr">
        <is>
          <t>Ne</t>
        </is>
      </c>
      <c r="H81" s="19" t="inlineStr">
        <is>
          <t>Lhůty jsou součástí SLA (Příloha 4).</t>
        </is>
      </c>
      <c r="I81" s="18" t="inlineStr">
        <is>
          <t>4.5</t>
        </is>
      </c>
      <c r="J81" s="18" t="inlineStr">
        <is>
          <t>Podklad pro FS (20 %)</t>
        </is>
      </c>
      <c r="K81" s="18" t="inlineStr">
        <is>
          <t>Schváleno</t>
        </is>
      </c>
      <c r="L81" s="19" t="inlineStr"/>
      <c r="M81" s="20" t="n"/>
      <c r="N81" s="21" t="n"/>
      <c r="O81" s="20" t="n"/>
      <c r="P81" s="22">
        <f>IF(M81="","",IF(OR(M81="OOTB",M81="Konfigurace",M81="Custom vývoj"),IF(O81="","CHYBÍ odkaz FS","OK"),"N/A"))</f>
        <v/>
      </c>
      <c r="Q81" s="22">
        <f>IF(F81="Must",3,IF(F81="Should",2,IF(F81="Could",1,0)))</f>
        <v/>
      </c>
      <c r="R81" s="22">
        <f>IF(M81="","",IF(M81="OOTB",5,IF(M81="Konfigurace",3,IF(M81="Custom vývoj",1,IF(OR(M81="3rd party",M81="Nesplněno"),0,"")))))</f>
        <v/>
      </c>
      <c r="S81" s="23" t="n"/>
      <c r="T81" s="22">
        <f>IF(R81="","",IF(OR(P81="CHYBÍ odkaz FS",S81="Ne"),0,R81))</f>
        <v/>
      </c>
      <c r="U81" s="22">
        <f>IF(G81&lt;&gt;"Ano","",IF(M81="","",IF(OR(M81="Nesplněno",M81="3rd party",M81="Neakceptuje",S81="Ne",P81="CHYBÍ odkaz FS"),"FAIL",IF(M81="Akceptuje s výhradou","K VYJASNĚNÍ","PASS"))))</f>
        <v/>
      </c>
      <c r="V81" s="22">
        <f>IF(AND(J81="Byznys (30 %)",G81&lt;&gt;"Ano",ISNUMBER(T81)),T81*Q81,0)</f>
        <v/>
      </c>
      <c r="W81" s="22">
        <f>IF(AND(J81="Byznys (30 %)",G81&lt;&gt;"Ano",F81&lt;&gt;"Won't"),5*Q81,0)</f>
        <v/>
      </c>
      <c r="X81" s="24" t="n"/>
    </row>
    <row r="82">
      <c r="A82" s="18" t="inlineStr">
        <is>
          <t>SEC-008</t>
        </is>
      </c>
      <c r="B82" s="18" t="inlineStr">
        <is>
          <t>SEC</t>
        </is>
      </c>
      <c r="C82" s="19" t="inlineStr">
        <is>
          <t>Ke každému releasu dodavatel poskytne SBOM (seznam softwarových komponent).</t>
        </is>
      </c>
      <c r="D82" s="19" t="inlineStr">
        <is>
          <t>Řízení rizik dodavatelského řetězce</t>
        </is>
      </c>
      <c r="E82" s="18" t="inlineStr">
        <is>
          <t>IT</t>
        </is>
      </c>
      <c r="F82" s="18" t="inlineStr">
        <is>
          <t>Should</t>
        </is>
      </c>
      <c r="G82" s="18" t="inlineStr">
        <is>
          <t>Ne</t>
        </is>
      </c>
      <c r="H82" s="19" t="inlineStr">
        <is>
          <t>SBOM ve formátu CycloneDX nebo SPDX.</t>
        </is>
      </c>
      <c r="I82" s="18" t="inlineStr">
        <is>
          <t>4.5</t>
        </is>
      </c>
      <c r="J82" s="18" t="inlineStr">
        <is>
          <t>Podklad pro FS (20 %)</t>
        </is>
      </c>
      <c r="K82" s="18" t="inlineStr">
        <is>
          <t>Schváleno</t>
        </is>
      </c>
      <c r="L82" s="19" t="inlineStr"/>
      <c r="M82" s="20" t="n"/>
      <c r="N82" s="21" t="n"/>
      <c r="O82" s="20" t="n"/>
      <c r="P82" s="22">
        <f>IF(M82="","",IF(OR(M82="OOTB",M82="Konfigurace",M82="Custom vývoj"),IF(O82="","CHYBÍ odkaz FS","OK"),"N/A"))</f>
        <v/>
      </c>
      <c r="Q82" s="22">
        <f>IF(F82="Must",3,IF(F82="Should",2,IF(F82="Could",1,0)))</f>
        <v/>
      </c>
      <c r="R82" s="22">
        <f>IF(M82="","",IF(M82="OOTB",5,IF(M82="Konfigurace",3,IF(M82="Custom vývoj",1,IF(OR(M82="3rd party",M82="Nesplněno"),0,"")))))</f>
        <v/>
      </c>
      <c r="S82" s="23" t="n"/>
      <c r="T82" s="22">
        <f>IF(R82="","",IF(OR(P82="CHYBÍ odkaz FS",S82="Ne"),0,R82))</f>
        <v/>
      </c>
      <c r="U82" s="22">
        <f>IF(G82&lt;&gt;"Ano","",IF(M82="","",IF(OR(M82="Nesplněno",M82="3rd party",M82="Neakceptuje",S82="Ne",P82="CHYBÍ odkaz FS"),"FAIL",IF(M82="Akceptuje s výhradou","K VYJASNĚNÍ","PASS"))))</f>
        <v/>
      </c>
      <c r="V82" s="22">
        <f>IF(AND(J82="Byznys (30 %)",G82&lt;&gt;"Ano",ISNUMBER(T82)),T82*Q82,0)</f>
        <v/>
      </c>
      <c r="W82" s="22">
        <f>IF(AND(J82="Byznys (30 %)",G82&lt;&gt;"Ano",F82&lt;&gt;"Won't"),5*Q82,0)</f>
        <v/>
      </c>
      <c r="X82" s="24" t="n"/>
    </row>
    <row r="83">
      <c r="A83" s="18" t="inlineStr">
        <is>
          <t>SEC-009</t>
        </is>
      </c>
      <c r="B83" s="18" t="inlineStr">
        <is>
          <t>SEC</t>
        </is>
      </c>
      <c r="C83" s="19" t="inlineStr">
        <is>
          <t>Maskování nebo pseudonymizace osobních údajů v neprodukčních prostředích.</t>
        </is>
      </c>
      <c r="D83" s="19" t="inlineStr">
        <is>
          <t>čl. 25 a 32 GDPR</t>
        </is>
      </c>
      <c r="E83" s="18" t="inlineStr">
        <is>
          <t>Legal</t>
        </is>
      </c>
      <c r="F83" s="18" t="inlineStr">
        <is>
          <t>Must</t>
        </is>
      </c>
      <c r="G83" s="18" t="inlineStr">
        <is>
          <t>Ne</t>
        </is>
      </c>
      <c r="H83" s="19" t="inlineStr">
        <is>
          <t>Na UAT nejsou čitelná skutečná jména klientů.</t>
        </is>
      </c>
      <c r="I83" s="18" t="inlineStr">
        <is>
          <t>4.3</t>
        </is>
      </c>
      <c r="J83" s="18" t="inlineStr">
        <is>
          <t>Podklad pro FS (20 %)</t>
        </is>
      </c>
      <c r="K83" s="18" t="inlineStr">
        <is>
          <t>Schváleno</t>
        </is>
      </c>
      <c r="L83" s="19" t="inlineStr"/>
      <c r="M83" s="20" t="n"/>
      <c r="N83" s="21" t="n"/>
      <c r="O83" s="20" t="n"/>
      <c r="P83" s="22">
        <f>IF(M83="","",IF(OR(M83="OOTB",M83="Konfigurace",M83="Custom vývoj"),IF(O83="","CHYBÍ odkaz FS","OK"),"N/A"))</f>
        <v/>
      </c>
      <c r="Q83" s="22">
        <f>IF(F83="Must",3,IF(F83="Should",2,IF(F83="Could",1,0)))</f>
        <v/>
      </c>
      <c r="R83" s="22">
        <f>IF(M83="","",IF(M83="OOTB",5,IF(M83="Konfigurace",3,IF(M83="Custom vývoj",1,IF(OR(M83="3rd party",M83="Nesplněno"),0,"")))))</f>
        <v/>
      </c>
      <c r="S83" s="23" t="n"/>
      <c r="T83" s="22">
        <f>IF(R83="","",IF(OR(P83="CHYBÍ odkaz FS",S83="Ne"),0,R83))</f>
        <v/>
      </c>
      <c r="U83" s="22">
        <f>IF(G83&lt;&gt;"Ano","",IF(M83="","",IF(OR(M83="Nesplněno",M83="3rd party",M83="Neakceptuje",S83="Ne",P83="CHYBÍ odkaz FS"),"FAIL",IF(M83="Akceptuje s výhradou","K VYJASNĚNÍ","PASS"))))</f>
        <v/>
      </c>
      <c r="V83" s="22">
        <f>IF(AND(J83="Byznys (30 %)",G83&lt;&gt;"Ano",ISNUMBER(T83)),T83*Q83,0)</f>
        <v/>
      </c>
      <c r="W83" s="22">
        <f>IF(AND(J83="Byznys (30 %)",G83&lt;&gt;"Ano",F83&lt;&gt;"Won't"),5*Q83,0)</f>
        <v/>
      </c>
      <c r="X83" s="24" t="n"/>
    </row>
    <row r="84">
      <c r="A84" s="18" t="inlineStr">
        <is>
          <t>SEC-010</t>
        </is>
      </c>
      <c r="B84" s="18" t="inlineStr">
        <is>
          <t>SEC</t>
        </is>
      </c>
      <c r="C84" s="19" t="inlineStr">
        <is>
          <t>Dodavatel je držitelem platné certifikace ISO/IEC 27001 nebo zprávy SOC 2 Type II pro organizaci zajišťující vývoj a podporu.</t>
        </is>
      </c>
      <c r="D84" s="19" t="inlineStr">
        <is>
          <t>Řízení rizik dodavatele</t>
        </is>
      </c>
      <c r="E84" s="18" t="inlineStr">
        <is>
          <t>IT</t>
        </is>
      </c>
      <c r="F84" s="18" t="inlineStr">
        <is>
          <t>Must</t>
        </is>
      </c>
      <c r="G84" s="25" t="inlineStr">
        <is>
          <t>Ano</t>
        </is>
      </c>
      <c r="H84" s="19" t="inlineStr">
        <is>
          <t>Kopie certifikátu / zprávy ne starší 12 měsíců.</t>
        </is>
      </c>
      <c r="I84" s="18" t="inlineStr">
        <is>
          <t>4.1</t>
        </is>
      </c>
      <c r="J84" s="18" t="inlineStr">
        <is>
          <t>K.O. (Pass/Fail)</t>
        </is>
      </c>
      <c r="K84" s="18" t="inlineStr">
        <is>
          <t>Schváleno</t>
        </is>
      </c>
      <c r="L84" s="19" t="inlineStr"/>
      <c r="M84" s="20" t="n"/>
      <c r="N84" s="21" t="n"/>
      <c r="O84" s="20" t="n"/>
      <c r="P84" s="22">
        <f>IF(M84="","",IF(OR(M84="OOTB",M84="Konfigurace",M84="Custom vývoj"),IF(O84="","CHYBÍ odkaz FS","OK"),"N/A"))</f>
        <v/>
      </c>
      <c r="Q84" s="22">
        <f>IF(F84="Must",3,IF(F84="Should",2,IF(F84="Could",1,0)))</f>
        <v/>
      </c>
      <c r="R84" s="22">
        <f>IF(M84="","",IF(M84="OOTB",5,IF(M84="Konfigurace",3,IF(M84="Custom vývoj",1,IF(OR(M84="3rd party",M84="Nesplněno"),0,"")))))</f>
        <v/>
      </c>
      <c r="S84" s="23" t="n"/>
      <c r="T84" s="22">
        <f>IF(R84="","",IF(OR(P84="CHYBÍ odkaz FS",S84="Ne"),0,R84))</f>
        <v/>
      </c>
      <c r="U84" s="22">
        <f>IF(G84&lt;&gt;"Ano","",IF(M84="","",IF(OR(M84="Nesplněno",M84="3rd party",M84="Neakceptuje",S84="Ne",P84="CHYBÍ odkaz FS"),"FAIL",IF(M84="Akceptuje s výhradou","K VYJASNĚNÍ","PASS"))))</f>
        <v/>
      </c>
      <c r="V84" s="22">
        <f>IF(AND(J84="Byznys (30 %)",G84&lt;&gt;"Ano",ISNUMBER(T84)),T84*Q84,0)</f>
        <v/>
      </c>
      <c r="W84" s="22">
        <f>IF(AND(J84="Byznys (30 %)",G84&lt;&gt;"Ano",F84&lt;&gt;"Won't"),5*Q84,0)</f>
        <v/>
      </c>
      <c r="X84" s="24" t="n"/>
    </row>
    <row r="85">
      <c r="A85" s="18" t="inlineStr">
        <is>
          <t>REG-001</t>
        </is>
      </c>
      <c r="B85" s="18" t="inlineStr">
        <is>
          <t>REG</t>
        </is>
      </c>
      <c r="C85" s="19" t="inlineStr">
        <is>
          <t>Dodavatel akceptuje smluvní ujednání dle čl. 30 DORA a poskytne údaje pro registr informací Banky.</t>
        </is>
      </c>
      <c r="D85" s="19" t="inlineStr">
        <is>
          <t>nařízení (EU) 2022/2554 (DORA) čl. 28 a 30</t>
        </is>
      </c>
      <c r="E85" s="18" t="inlineStr">
        <is>
          <t>Legal</t>
        </is>
      </c>
      <c r="F85" s="18" t="inlineStr">
        <is>
          <t>Must</t>
        </is>
      </c>
      <c r="G85" s="25" t="inlineStr">
        <is>
          <t>Ano</t>
        </is>
      </c>
      <c r="H85" s="19" t="inlineStr">
        <is>
          <t>Bez výhrad k Příloze 5 v části DORA.</t>
        </is>
      </c>
      <c r="I85" s="18" t="inlineStr">
        <is>
          <t>9.1</t>
        </is>
      </c>
      <c r="J85" s="18" t="inlineStr">
        <is>
          <t>K.O. (Pass/Fail)</t>
        </is>
      </c>
      <c r="K85" s="18" t="inlineStr">
        <is>
          <t>Schváleno</t>
        </is>
      </c>
      <c r="L85" s="19" t="inlineStr"/>
      <c r="M85" s="20" t="n"/>
      <c r="N85" s="21" t="n"/>
      <c r="O85" s="20" t="n"/>
      <c r="P85" s="22">
        <f>IF(M85="","",IF(OR(M85="OOTB",M85="Konfigurace",M85="Custom vývoj"),IF(O85="","CHYBÍ odkaz FS","OK"),"N/A"))</f>
        <v/>
      </c>
      <c r="Q85" s="22">
        <f>IF(F85="Must",3,IF(F85="Should",2,IF(F85="Could",1,0)))</f>
        <v/>
      </c>
      <c r="R85" s="22">
        <f>IF(M85="","",IF(M85="OOTB",5,IF(M85="Konfigurace",3,IF(M85="Custom vývoj",1,IF(OR(M85="3rd party",M85="Nesplněno"),0,"")))))</f>
        <v/>
      </c>
      <c r="S85" s="23" t="n"/>
      <c r="T85" s="22">
        <f>IF(R85="","",IF(OR(P85="CHYBÍ odkaz FS",S85="Ne"),0,R85))</f>
        <v/>
      </c>
      <c r="U85" s="22">
        <f>IF(G85&lt;&gt;"Ano","",IF(M85="","",IF(OR(M85="Nesplněno",M85="3rd party",M85="Neakceptuje",S85="Ne",P85="CHYBÍ odkaz FS"),"FAIL",IF(M85="Akceptuje s výhradou","K VYJASNĚNÍ","PASS"))))</f>
        <v/>
      </c>
      <c r="V85" s="22">
        <f>IF(AND(J85="Byznys (30 %)",G85&lt;&gt;"Ano",ISNUMBER(T85)),T85*Q85,0)</f>
        <v/>
      </c>
      <c r="W85" s="22">
        <f>IF(AND(J85="Byznys (30 %)",G85&lt;&gt;"Ano",F85&lt;&gt;"Won't"),5*Q85,0)</f>
        <v/>
      </c>
      <c r="X85" s="24" t="n"/>
    </row>
    <row r="86">
      <c r="A86" s="18" t="inlineStr">
        <is>
          <t>REG-002</t>
        </is>
      </c>
      <c r="B86" s="18" t="inlineStr">
        <is>
          <t>REG</t>
        </is>
      </c>
      <c r="C86" s="19" t="inlineStr">
        <is>
          <t>Legislativní údržba je součástí ceny licence/podpory: změny AML zákona, vyhlášek ČNB a požadavky nařízení (EU) 2024/1624 (AMLR) včetně technických norem AMLA.</t>
        </is>
      </c>
      <c r="D86" s="19" t="inlineStr">
        <is>
          <t>nařízení (EU) 2024/1624 – použitelné od 10. 7. 2027</t>
        </is>
      </c>
      <c r="E86" s="18" t="inlineStr">
        <is>
          <t>Compliance</t>
        </is>
      </c>
      <c r="F86" s="18" t="inlineStr">
        <is>
          <t>Must</t>
        </is>
      </c>
      <c r="G86" s="18" t="inlineStr">
        <is>
          <t>Ne</t>
        </is>
      </c>
      <c r="H86" s="19" t="inlineStr">
        <is>
          <t>Dodavatel potvrdí v cenové šabloně (list C), že legislativní údržba není účtována zvlášť.</t>
        </is>
      </c>
      <c r="I86" s="18" t="inlineStr">
        <is>
          <t>9.1</t>
        </is>
      </c>
      <c r="J86" s="18" t="inlineStr">
        <is>
          <t>Podklad pro FS (20 %)</t>
        </is>
      </c>
      <c r="K86" s="18" t="inlineStr">
        <is>
          <t>Schváleno</t>
        </is>
      </c>
      <c r="L86" s="19" t="inlineStr"/>
      <c r="M86" s="20" t="n"/>
      <c r="N86" s="21" t="n"/>
      <c r="O86" s="20" t="n"/>
      <c r="P86" s="22">
        <f>IF(M86="","",IF(OR(M86="OOTB",M86="Konfigurace",M86="Custom vývoj"),IF(O86="","CHYBÍ odkaz FS","OK"),"N/A"))</f>
        <v/>
      </c>
      <c r="Q86" s="22">
        <f>IF(F86="Must",3,IF(F86="Should",2,IF(F86="Could",1,0)))</f>
        <v/>
      </c>
      <c r="R86" s="22">
        <f>IF(M86="","",IF(M86="OOTB",5,IF(M86="Konfigurace",3,IF(M86="Custom vývoj",1,IF(OR(M86="3rd party",M86="Nesplněno"),0,"")))))</f>
        <v/>
      </c>
      <c r="S86" s="23" t="n"/>
      <c r="T86" s="22">
        <f>IF(R86="","",IF(OR(P86="CHYBÍ odkaz FS",S86="Ne"),0,R86))</f>
        <v/>
      </c>
      <c r="U86" s="22">
        <f>IF(G86&lt;&gt;"Ano","",IF(M86="","",IF(OR(M86="Nesplněno",M86="3rd party",M86="Neakceptuje",S86="Ne",P86="CHYBÍ odkaz FS"),"FAIL",IF(M86="Akceptuje s výhradou","K VYJASNĚNÍ","PASS"))))</f>
        <v/>
      </c>
      <c r="V86" s="22">
        <f>IF(AND(J86="Byznys (30 %)",G86&lt;&gt;"Ano",ISNUMBER(T86)),T86*Q86,0)</f>
        <v/>
      </c>
      <c r="W86" s="22">
        <f>IF(AND(J86="Byznys (30 %)",G86&lt;&gt;"Ano",F86&lt;&gt;"Won't"),5*Q86,0)</f>
        <v/>
      </c>
      <c r="X86" s="24" t="n"/>
    </row>
    <row r="87">
      <c r="A87" s="18" t="inlineStr">
        <is>
          <t>REG-003</t>
        </is>
      </c>
      <c r="B87" s="18" t="inlineStr">
        <is>
          <t>REG</t>
        </is>
      </c>
      <c r="C87" s="19" t="inlineStr">
        <is>
          <t>Retenční pravidla: uchování 10 let dle AML zákona a následný výmaz nebo anonymizace dle GDPR, s protokolem.</t>
        </is>
      </c>
      <c r="D87" s="19" t="inlineStr">
        <is>
          <t>§ 16 z. č. 253/2008 Sb.; čl. 5 a 17 GDPR</t>
        </is>
      </c>
      <c r="E87" s="18" t="inlineStr">
        <is>
          <t>Legal</t>
        </is>
      </c>
      <c r="F87" s="18" t="inlineStr">
        <is>
          <t>Must</t>
        </is>
      </c>
      <c r="G87" s="18" t="inlineStr">
        <is>
          <t>Ne</t>
        </is>
      </c>
      <c r="H87" s="19" t="inlineStr">
        <is>
          <t>Výmaz po uplynutí lhůty proběhne automaticky a je zaprotokolován.</t>
        </is>
      </c>
      <c r="I87" s="18" t="inlineStr">
        <is>
          <t>9.2</t>
        </is>
      </c>
      <c r="J87" s="18" t="inlineStr">
        <is>
          <t>Podklad pro FS (20 %)</t>
        </is>
      </c>
      <c r="K87" s="18" t="inlineStr">
        <is>
          <t>Schváleno</t>
        </is>
      </c>
      <c r="L87" s="19" t="inlineStr"/>
      <c r="M87" s="20" t="n"/>
      <c r="N87" s="21" t="n"/>
      <c r="O87" s="20" t="n"/>
      <c r="P87" s="22">
        <f>IF(M87="","",IF(OR(M87="OOTB",M87="Konfigurace",M87="Custom vývoj"),IF(O87="","CHYBÍ odkaz FS","OK"),"N/A"))</f>
        <v/>
      </c>
      <c r="Q87" s="22">
        <f>IF(F87="Must",3,IF(F87="Should",2,IF(F87="Could",1,0)))</f>
        <v/>
      </c>
      <c r="R87" s="22">
        <f>IF(M87="","",IF(M87="OOTB",5,IF(M87="Konfigurace",3,IF(M87="Custom vývoj",1,IF(OR(M87="3rd party",M87="Nesplněno"),0,"")))))</f>
        <v/>
      </c>
      <c r="S87" s="23" t="n"/>
      <c r="T87" s="22">
        <f>IF(R87="","",IF(OR(P87="CHYBÍ odkaz FS",S87="Ne"),0,R87))</f>
        <v/>
      </c>
      <c r="U87" s="22">
        <f>IF(G87&lt;&gt;"Ano","",IF(M87="","",IF(OR(M87="Nesplněno",M87="3rd party",M87="Neakceptuje",S87="Ne",P87="CHYBÍ odkaz FS"),"FAIL",IF(M87="Akceptuje s výhradou","K VYJASNĚNÍ","PASS"))))</f>
        <v/>
      </c>
      <c r="V87" s="22">
        <f>IF(AND(J87="Byznys (30 %)",G87&lt;&gt;"Ano",ISNUMBER(T87)),T87*Q87,0)</f>
        <v/>
      </c>
      <c r="W87" s="22">
        <f>IF(AND(J87="Byznys (30 %)",G87&lt;&gt;"Ano",F87&lt;&gt;"Won't"),5*Q87,0)</f>
        <v/>
      </c>
      <c r="X87" s="24" t="n"/>
    </row>
    <row r="88">
      <c r="A88" s="18" t="inlineStr">
        <is>
          <t>REG-004</t>
        </is>
      </c>
      <c r="B88" s="18" t="inlineStr">
        <is>
          <t>REG</t>
        </is>
      </c>
      <c r="C88" s="19" t="inlineStr">
        <is>
          <t>Dodavatel poskytne podklady pro posouzení vlivu na ochranu osobních údajů (DPIA).</t>
        </is>
      </c>
      <c r="D88" s="19" t="inlineStr">
        <is>
          <t>čl. 35 GDPR</t>
        </is>
      </c>
      <c r="E88" s="18" t="inlineStr">
        <is>
          <t>Legal</t>
        </is>
      </c>
      <c r="F88" s="18" t="inlineStr">
        <is>
          <t>Must</t>
        </is>
      </c>
      <c r="G88" s="18" t="inlineStr">
        <is>
          <t>Ne</t>
        </is>
      </c>
      <c r="H88" s="19" t="inlineStr">
        <is>
          <t>Podklady dodány do 30 dnů od podpisu smlouvy.</t>
        </is>
      </c>
      <c r="I88" s="18" t="inlineStr">
        <is>
          <t>9.1</t>
        </is>
      </c>
      <c r="J88" s="18" t="inlineStr">
        <is>
          <t>Podklad pro FS (20 %)</t>
        </is>
      </c>
      <c r="K88" s="18" t="inlineStr">
        <is>
          <t>Schváleno</t>
        </is>
      </c>
      <c r="L88" s="19" t="inlineStr"/>
      <c r="M88" s="20" t="n"/>
      <c r="N88" s="21" t="n"/>
      <c r="O88" s="20" t="n"/>
      <c r="P88" s="22">
        <f>IF(M88="","",IF(OR(M88="OOTB",M88="Konfigurace",M88="Custom vývoj"),IF(O88="","CHYBÍ odkaz FS","OK"),"N/A"))</f>
        <v/>
      </c>
      <c r="Q88" s="22">
        <f>IF(F88="Must",3,IF(F88="Should",2,IF(F88="Could",1,0)))</f>
        <v/>
      </c>
      <c r="R88" s="22">
        <f>IF(M88="","",IF(M88="OOTB",5,IF(M88="Konfigurace",3,IF(M88="Custom vývoj",1,IF(OR(M88="3rd party",M88="Nesplněno"),0,"")))))</f>
        <v/>
      </c>
      <c r="S88" s="23" t="n"/>
      <c r="T88" s="22">
        <f>IF(R88="","",IF(OR(P88="CHYBÍ odkaz FS",S88="Ne"),0,R88))</f>
        <v/>
      </c>
      <c r="U88" s="22">
        <f>IF(G88&lt;&gt;"Ano","",IF(M88="","",IF(OR(M88="Nesplněno",M88="3rd party",M88="Neakceptuje",S88="Ne",P88="CHYBÍ odkaz FS"),"FAIL",IF(M88="Akceptuje s výhradou","K VYJASNĚNÍ","PASS"))))</f>
        <v/>
      </c>
      <c r="V88" s="22">
        <f>IF(AND(J88="Byznys (30 %)",G88&lt;&gt;"Ano",ISNUMBER(T88)),T88*Q88,0)</f>
        <v/>
      </c>
      <c r="W88" s="22">
        <f>IF(AND(J88="Byznys (30 %)",G88&lt;&gt;"Ano",F88&lt;&gt;"Won't"),5*Q88,0)</f>
        <v/>
      </c>
      <c r="X88" s="24" t="n"/>
    </row>
    <row r="89">
      <c r="A89" s="18" t="inlineStr">
        <is>
          <t>REG-005</t>
        </is>
      </c>
      <c r="B89" s="18" t="inlineStr">
        <is>
          <t>REG</t>
        </is>
      </c>
      <c r="C89" s="19" t="inlineStr">
        <is>
          <t>Roadmapa produktu pro požadavky AMLR a AMLA (např. jednotná pravidla CDD, údaje o skutečných majitelích, uchovávání údajů).</t>
        </is>
      </c>
      <c r="D89" s="19" t="inlineStr">
        <is>
          <t>nařízení (EU) 2024/1624 a 2024/1620</t>
        </is>
      </c>
      <c r="E89" s="18" t="inlineStr">
        <is>
          <t>Compliance</t>
        </is>
      </c>
      <c r="F89" s="18" t="inlineStr">
        <is>
          <t>Should</t>
        </is>
      </c>
      <c r="G89" s="18" t="inlineStr">
        <is>
          <t>Ne</t>
        </is>
      </c>
      <c r="H89" s="19" t="inlineStr">
        <is>
          <t>Roadmapa s termíny je součástí FS.</t>
        </is>
      </c>
      <c r="I89" s="18" t="inlineStr">
        <is>
          <t>9.1</t>
        </is>
      </c>
      <c r="J89" s="18" t="inlineStr">
        <is>
          <t>Podklad pro FS (20 %)</t>
        </is>
      </c>
      <c r="K89" s="18" t="inlineStr">
        <is>
          <t>Schváleno</t>
        </is>
      </c>
      <c r="L89" s="19" t="inlineStr"/>
      <c r="M89" s="20" t="n"/>
      <c r="N89" s="21" t="n"/>
      <c r="O89" s="20" t="n"/>
      <c r="P89" s="22">
        <f>IF(M89="","",IF(OR(M89="OOTB",M89="Konfigurace",M89="Custom vývoj"),IF(O89="","CHYBÍ odkaz FS","OK"),"N/A"))</f>
        <v/>
      </c>
      <c r="Q89" s="22">
        <f>IF(F89="Must",3,IF(F89="Should",2,IF(F89="Could",1,0)))</f>
        <v/>
      </c>
      <c r="R89" s="22">
        <f>IF(M89="","",IF(M89="OOTB",5,IF(M89="Konfigurace",3,IF(M89="Custom vývoj",1,IF(OR(M89="3rd party",M89="Nesplněno"),0,"")))))</f>
        <v/>
      </c>
      <c r="S89" s="23" t="n"/>
      <c r="T89" s="22">
        <f>IF(R89="","",IF(OR(P89="CHYBÍ odkaz FS",S89="Ne"),0,R89))</f>
        <v/>
      </c>
      <c r="U89" s="22">
        <f>IF(G89&lt;&gt;"Ano","",IF(M89="","",IF(OR(M89="Nesplněno",M89="3rd party",M89="Neakceptuje",S89="Ne",P89="CHYBÍ odkaz FS"),"FAIL",IF(M89="Akceptuje s výhradou","K VYJASNĚNÍ","PASS"))))</f>
        <v/>
      </c>
      <c r="V89" s="22">
        <f>IF(AND(J89="Byznys (30 %)",G89&lt;&gt;"Ano",ISNUMBER(T89)),T89*Q89,0)</f>
        <v/>
      </c>
      <c r="W89" s="22">
        <f>IF(AND(J89="Byznys (30 %)",G89&lt;&gt;"Ano",F89&lt;&gt;"Won't"),5*Q89,0)</f>
        <v/>
      </c>
      <c r="X89" s="24" t="n"/>
    </row>
    <row r="90">
      <c r="A90" s="18" t="inlineStr">
        <is>
          <t>REG-006</t>
        </is>
      </c>
      <c r="B90" s="18" t="inlineStr">
        <is>
          <t>REG</t>
        </is>
      </c>
      <c r="C90" s="19" t="inlineStr">
        <is>
          <t>Dokumentace modelů strojového učení (účel, data, metriky, řízení změn) pro potřeby validace a dozoru.</t>
        </is>
      </c>
      <c r="D90" s="19" t="inlineStr">
        <is>
          <t>nařízení (EU) 2024/1689 (AI Act); řízení modelového rizika</t>
        </is>
      </c>
      <c r="E90" s="18" t="inlineStr">
        <is>
          <t>Compliance</t>
        </is>
      </c>
      <c r="F90" s="18" t="inlineStr">
        <is>
          <t>Could</t>
        </is>
      </c>
      <c r="G90" s="18" t="inlineStr">
        <is>
          <t>Ne</t>
        </is>
      </c>
      <c r="H90" s="19" t="inlineStr">
        <is>
          <t>Dokumentace je dostupná ke každé verzi modelu.</t>
        </is>
      </c>
      <c r="I90" s="18" t="inlineStr">
        <is>
          <t>9.1</t>
        </is>
      </c>
      <c r="J90" s="18" t="inlineStr">
        <is>
          <t>Podklad pro FS (20 %)</t>
        </is>
      </c>
      <c r="K90" s="18" t="inlineStr">
        <is>
          <t>Schváleno</t>
        </is>
      </c>
      <c r="L90" s="19" t="inlineStr"/>
      <c r="M90" s="20" t="n"/>
      <c r="N90" s="21" t="n"/>
      <c r="O90" s="20" t="n"/>
      <c r="P90" s="22">
        <f>IF(M90="","",IF(OR(M90="OOTB",M90="Konfigurace",M90="Custom vývoj"),IF(O90="","CHYBÍ odkaz FS","OK"),"N/A"))</f>
        <v/>
      </c>
      <c r="Q90" s="22">
        <f>IF(F90="Must",3,IF(F90="Should",2,IF(F90="Could",1,0)))</f>
        <v/>
      </c>
      <c r="R90" s="22">
        <f>IF(M90="","",IF(M90="OOTB",5,IF(M90="Konfigurace",3,IF(M90="Custom vývoj",1,IF(OR(M90="3rd party",M90="Nesplněno"),0,"")))))</f>
        <v/>
      </c>
      <c r="S90" s="23" t="n"/>
      <c r="T90" s="22">
        <f>IF(R90="","",IF(OR(P90="CHYBÍ odkaz FS",S90="Ne"),0,R90))</f>
        <v/>
      </c>
      <c r="U90" s="22">
        <f>IF(G90&lt;&gt;"Ano","",IF(M90="","",IF(OR(M90="Nesplněno",M90="3rd party",M90="Neakceptuje",S90="Ne",P90="CHYBÍ odkaz FS"),"FAIL",IF(M90="Akceptuje s výhradou","K VYJASNĚNÍ","PASS"))))</f>
        <v/>
      </c>
      <c r="V90" s="22">
        <f>IF(AND(J90="Byznys (30 %)",G90&lt;&gt;"Ano",ISNUMBER(T90)),T90*Q90,0)</f>
        <v/>
      </c>
      <c r="W90" s="22">
        <f>IF(AND(J90="Byznys (30 %)",G90&lt;&gt;"Ano",F90&lt;&gt;"Won't"),5*Q90,0)</f>
        <v/>
      </c>
      <c r="X90" s="24" t="n"/>
    </row>
    <row r="91">
      <c r="A91" s="18" t="inlineStr">
        <is>
          <t>LEG-001</t>
        </is>
      </c>
      <c r="B91" s="18" t="inlineStr">
        <is>
          <t>LEG</t>
        </is>
      </c>
      <c r="C91" s="19" t="inlineStr">
        <is>
          <t>Osobní údaje jsou zpracovávány výhradně v EU/EHP; jakýkoli přístup z třetích zemí (včetně vzdálené podpory) jen s předchozím písemným souhlasem Banky.</t>
        </is>
      </c>
      <c r="D91" s="19" t="inlineStr">
        <is>
          <t>kap. V GDPR; z. č. 110/2019 Sb.</t>
        </is>
      </c>
      <c r="E91" s="18" t="inlineStr">
        <is>
          <t>Legal</t>
        </is>
      </c>
      <c r="F91" s="18" t="inlineStr">
        <is>
          <t>Must</t>
        </is>
      </c>
      <c r="G91" s="25" t="inlineStr">
        <is>
          <t>Ano</t>
        </is>
      </c>
      <c r="H91" s="19" t="inlineStr">
        <is>
          <t>Dodavatel uvede všechna místa zpracování a podpory.</t>
        </is>
      </c>
      <c r="I91" s="18" t="inlineStr">
        <is>
          <t>9.1</t>
        </is>
      </c>
      <c r="J91" s="18" t="inlineStr">
        <is>
          <t>K.O. (Pass/Fail)</t>
        </is>
      </c>
      <c r="K91" s="18" t="inlineStr">
        <is>
          <t>Schváleno</t>
        </is>
      </c>
      <c r="L91" s="19" t="inlineStr"/>
      <c r="M91" s="20" t="n"/>
      <c r="N91" s="21" t="n"/>
      <c r="O91" s="20" t="n"/>
      <c r="P91" s="22">
        <f>IF(M91="","",IF(OR(M91="OOTB",M91="Konfigurace",M91="Custom vývoj"),IF(O91="","CHYBÍ odkaz FS","OK"),"N/A"))</f>
        <v/>
      </c>
      <c r="Q91" s="22">
        <f>IF(F91="Must",3,IF(F91="Should",2,IF(F91="Could",1,0)))</f>
        <v/>
      </c>
      <c r="R91" s="22">
        <f>IF(M91="","",IF(M91="OOTB",5,IF(M91="Konfigurace",3,IF(M91="Custom vývoj",1,IF(OR(M91="3rd party",M91="Nesplněno"),0,"")))))</f>
        <v/>
      </c>
      <c r="S91" s="23" t="n"/>
      <c r="T91" s="22">
        <f>IF(R91="","",IF(OR(P91="CHYBÍ odkaz FS",S91="Ne"),0,R91))</f>
        <v/>
      </c>
      <c r="U91" s="22">
        <f>IF(G91&lt;&gt;"Ano","",IF(M91="","",IF(OR(M91="Nesplněno",M91="3rd party",M91="Neakceptuje",S91="Ne",P91="CHYBÍ odkaz FS"),"FAIL",IF(M91="Akceptuje s výhradou","K VYJASNĚNÍ","PASS"))))</f>
        <v/>
      </c>
      <c r="V91" s="22">
        <f>IF(AND(J91="Byznys (30 %)",G91&lt;&gt;"Ano",ISNUMBER(T91)),T91*Q91,0)</f>
        <v/>
      </c>
      <c r="W91" s="22">
        <f>IF(AND(J91="Byznys (30 %)",G91&lt;&gt;"Ano",F91&lt;&gt;"Won't"),5*Q91,0)</f>
        <v/>
      </c>
      <c r="X91" s="24" t="n"/>
    </row>
    <row r="92">
      <c r="A92" s="18" t="inlineStr">
        <is>
          <t>LEG-002</t>
        </is>
      </c>
      <c r="B92" s="18" t="inlineStr">
        <is>
          <t>LEG</t>
        </is>
      </c>
      <c r="C92" s="19" t="inlineStr">
        <is>
          <t>Uzavření smlouvy o zpracování osobních údajů dle čl. 28 GDPR na vzoru Banky.</t>
        </is>
      </c>
      <c r="D92" s="19" t="inlineStr">
        <is>
          <t>čl. 28 GDPR</t>
        </is>
      </c>
      <c r="E92" s="18" t="inlineStr">
        <is>
          <t>Legal</t>
        </is>
      </c>
      <c r="F92" s="18" t="inlineStr">
        <is>
          <t>Must</t>
        </is>
      </c>
      <c r="G92" s="25" t="inlineStr">
        <is>
          <t>Ano</t>
        </is>
      </c>
      <c r="H92" s="19" t="inlineStr">
        <is>
          <t>Bez výhrad nebo s výhradami vyřešenými v jednání.</t>
        </is>
      </c>
      <c r="I92" s="18" t="inlineStr">
        <is>
          <t>9.1</t>
        </is>
      </c>
      <c r="J92" s="18" t="inlineStr">
        <is>
          <t>K.O. (Pass/Fail)</t>
        </is>
      </c>
      <c r="K92" s="18" t="inlineStr">
        <is>
          <t>Schváleno</t>
        </is>
      </c>
      <c r="L92" s="19" t="inlineStr"/>
      <c r="M92" s="20" t="n"/>
      <c r="N92" s="21" t="n"/>
      <c r="O92" s="20" t="n"/>
      <c r="P92" s="22">
        <f>IF(M92="","",IF(OR(M92="OOTB",M92="Konfigurace",M92="Custom vývoj"),IF(O92="","CHYBÍ odkaz FS","OK"),"N/A"))</f>
        <v/>
      </c>
      <c r="Q92" s="22">
        <f>IF(F92="Must",3,IF(F92="Should",2,IF(F92="Could",1,0)))</f>
        <v/>
      </c>
      <c r="R92" s="22">
        <f>IF(M92="","",IF(M92="OOTB",5,IF(M92="Konfigurace",3,IF(M92="Custom vývoj",1,IF(OR(M92="3rd party",M92="Nesplněno"),0,"")))))</f>
        <v/>
      </c>
      <c r="S92" s="23" t="n"/>
      <c r="T92" s="22">
        <f>IF(R92="","",IF(OR(P92="CHYBÍ odkaz FS",S92="Ne"),0,R92))</f>
        <v/>
      </c>
      <c r="U92" s="22">
        <f>IF(G92&lt;&gt;"Ano","",IF(M92="","",IF(OR(M92="Nesplněno",M92="3rd party",M92="Neakceptuje",S92="Ne",P92="CHYBÍ odkaz FS"),"FAIL",IF(M92="Akceptuje s výhradou","K VYJASNĚNÍ","PASS"))))</f>
        <v/>
      </c>
      <c r="V92" s="22">
        <f>IF(AND(J92="Byznys (30 %)",G92&lt;&gt;"Ano",ISNUMBER(T92)),T92*Q92,0)</f>
        <v/>
      </c>
      <c r="W92" s="22">
        <f>IF(AND(J92="Byznys (30 %)",G92&lt;&gt;"Ano",F92&lt;&gt;"Won't"),5*Q92,0)</f>
        <v/>
      </c>
      <c r="X92" s="24" t="n"/>
    </row>
    <row r="93">
      <c r="A93" s="18" t="inlineStr">
        <is>
          <t>LEG-003</t>
        </is>
      </c>
      <c r="B93" s="18" t="inlineStr">
        <is>
          <t>LEG</t>
        </is>
      </c>
      <c r="C93" s="19" t="inlineStr">
        <is>
          <t>Mlčenlivost o skutečnostech podléhajících bankovnímu tajemství pro pracovníky dodavatele i subdodavatelů.</t>
        </is>
      </c>
      <c r="D93" s="19" t="inlineStr">
        <is>
          <t>§ 38 z. č. 21/1992 Sb., o bankách</t>
        </is>
      </c>
      <c r="E93" s="18" t="inlineStr">
        <is>
          <t>Legal</t>
        </is>
      </c>
      <c r="F93" s="18" t="inlineStr">
        <is>
          <t>Must</t>
        </is>
      </c>
      <c r="G93" s="18" t="inlineStr">
        <is>
          <t>Ne</t>
        </is>
      </c>
      <c r="H93" s="19" t="inlineStr">
        <is>
          <t>Individuální závazky mlčenlivosti před udělením přístupu.</t>
        </is>
      </c>
      <c r="I93" s="18" t="inlineStr">
        <is>
          <t>9.1</t>
        </is>
      </c>
      <c r="J93" s="18" t="inlineStr">
        <is>
          <t>Smluvní podmínka</t>
        </is>
      </c>
      <c r="K93" s="18" t="inlineStr">
        <is>
          <t>Schváleno</t>
        </is>
      </c>
      <c r="L93" s="19" t="inlineStr"/>
      <c r="M93" s="20" t="n"/>
      <c r="N93" s="21" t="n"/>
      <c r="O93" s="20" t="n"/>
      <c r="P93" s="22">
        <f>IF(M93="","",IF(OR(M93="OOTB",M93="Konfigurace",M93="Custom vývoj"),IF(O93="","CHYBÍ odkaz FS","OK"),"N/A"))</f>
        <v/>
      </c>
      <c r="Q93" s="22">
        <f>IF(F93="Must",3,IF(F93="Should",2,IF(F93="Could",1,0)))</f>
        <v/>
      </c>
      <c r="R93" s="22">
        <f>IF(M93="","",IF(M93="OOTB",5,IF(M93="Konfigurace",3,IF(M93="Custom vývoj",1,IF(OR(M93="3rd party",M93="Nesplněno"),0,"")))))</f>
        <v/>
      </c>
      <c r="S93" s="23" t="n"/>
      <c r="T93" s="22">
        <f>IF(R93="","",IF(OR(P93="CHYBÍ odkaz FS",S93="Ne"),0,R93))</f>
        <v/>
      </c>
      <c r="U93" s="22">
        <f>IF(G93&lt;&gt;"Ano","",IF(M93="","",IF(OR(M93="Nesplněno",M93="3rd party",M93="Neakceptuje",S93="Ne",P93="CHYBÍ odkaz FS"),"FAIL",IF(M93="Akceptuje s výhradou","K VYJASNĚNÍ","PASS"))))</f>
        <v/>
      </c>
      <c r="V93" s="22">
        <f>IF(AND(J93="Byznys (30 %)",G93&lt;&gt;"Ano",ISNUMBER(T93)),T93*Q93,0)</f>
        <v/>
      </c>
      <c r="W93" s="22">
        <f>IF(AND(J93="Byznys (30 %)",G93&lt;&gt;"Ano",F93&lt;&gt;"Won't"),5*Q93,0)</f>
        <v/>
      </c>
      <c r="X93" s="24" t="n"/>
    </row>
    <row r="94">
      <c r="A94" s="18" t="inlineStr">
        <is>
          <t>LEG-004</t>
        </is>
      </c>
      <c r="B94" s="18" t="inlineStr">
        <is>
          <t>LEG</t>
        </is>
      </c>
      <c r="C94" s="19" t="inlineStr">
        <is>
          <t>Neomezené právo auditu, přístupu a inspekce pro Banku, ČNB a další orgány dohledu, včetně subdodavatelů.</t>
        </is>
      </c>
      <c r="D94" s="19" t="inlineStr">
        <is>
          <t>DORA čl. 30 odst. 3 písm. e); EBA/GL/2019/02</t>
        </is>
      </c>
      <c r="E94" s="18" t="inlineStr">
        <is>
          <t>Legal</t>
        </is>
      </c>
      <c r="F94" s="18" t="inlineStr">
        <is>
          <t>Must</t>
        </is>
      </c>
      <c r="G94" s="18" t="inlineStr">
        <is>
          <t>Ne</t>
        </is>
      </c>
      <c r="H94" s="19" t="inlineStr">
        <is>
          <t>Smluvně zakotveno bez omezení četnosti pro orgány dohledu.</t>
        </is>
      </c>
      <c r="I94" s="18" t="inlineStr">
        <is>
          <t>9.1</t>
        </is>
      </c>
      <c r="J94" s="18" t="inlineStr">
        <is>
          <t>Smluvní podmínka</t>
        </is>
      </c>
      <c r="K94" s="18" t="inlineStr">
        <is>
          <t>Schváleno</t>
        </is>
      </c>
      <c r="L94" s="19" t="inlineStr"/>
      <c r="M94" s="20" t="n"/>
      <c r="N94" s="21" t="n"/>
      <c r="O94" s="20" t="n"/>
      <c r="P94" s="22">
        <f>IF(M94="","",IF(OR(M94="OOTB",M94="Konfigurace",M94="Custom vývoj"),IF(O94="","CHYBÍ odkaz FS","OK"),"N/A"))</f>
        <v/>
      </c>
      <c r="Q94" s="22">
        <f>IF(F94="Must",3,IF(F94="Should",2,IF(F94="Could",1,0)))</f>
        <v/>
      </c>
      <c r="R94" s="22">
        <f>IF(M94="","",IF(M94="OOTB",5,IF(M94="Konfigurace",3,IF(M94="Custom vývoj",1,IF(OR(M94="3rd party",M94="Nesplněno"),0,"")))))</f>
        <v/>
      </c>
      <c r="S94" s="23" t="n"/>
      <c r="T94" s="22">
        <f>IF(R94="","",IF(OR(P94="CHYBÍ odkaz FS",S94="Ne"),0,R94))</f>
        <v/>
      </c>
      <c r="U94" s="22">
        <f>IF(G94&lt;&gt;"Ano","",IF(M94="","",IF(OR(M94="Nesplněno",M94="3rd party",M94="Neakceptuje",S94="Ne",P94="CHYBÍ odkaz FS"),"FAIL",IF(M94="Akceptuje s výhradou","K VYJASNĚNÍ","PASS"))))</f>
        <v/>
      </c>
      <c r="V94" s="22">
        <f>IF(AND(J94="Byznys (30 %)",G94&lt;&gt;"Ano",ISNUMBER(T94)),T94*Q94,0)</f>
        <v/>
      </c>
      <c r="W94" s="22">
        <f>IF(AND(J94="Byznys (30 %)",G94&lt;&gt;"Ano",F94&lt;&gt;"Won't"),5*Q94,0)</f>
        <v/>
      </c>
      <c r="X94" s="24" t="n"/>
    </row>
    <row r="95">
      <c r="A95" s="18" t="inlineStr">
        <is>
          <t>LEG-005</t>
        </is>
      </c>
      <c r="B95" s="18" t="inlineStr">
        <is>
          <t>LEG</t>
        </is>
      </c>
      <c r="C95" s="19" t="inlineStr">
        <is>
          <t>Seznam subdodavatelů v nabídce; změna subdodavatele podílejícího se na kritické funkci jen s předchozím souhlasem Banky.</t>
        </is>
      </c>
      <c r="D95" s="19" t="inlineStr">
        <is>
          <t>DORA čl. 29 a 30; nařízení v přenesené pravomoci (EU) 2025/532</t>
        </is>
      </c>
      <c r="E95" s="18" t="inlineStr">
        <is>
          <t>Legal</t>
        </is>
      </c>
      <c r="F95" s="18" t="inlineStr">
        <is>
          <t>Must</t>
        </is>
      </c>
      <c r="G95" s="18" t="inlineStr">
        <is>
          <t>Ne</t>
        </is>
      </c>
      <c r="H95" s="19" t="inlineStr">
        <is>
          <t>Seznam subdodavatelů s lokalitou a rozsahem činnosti.</t>
        </is>
      </c>
      <c r="I95" s="18" t="inlineStr">
        <is>
          <t>9.1</t>
        </is>
      </c>
      <c r="J95" s="18" t="inlineStr">
        <is>
          <t>Smluvní podmínka</t>
        </is>
      </c>
      <c r="K95" s="18" t="inlineStr">
        <is>
          <t>Schváleno</t>
        </is>
      </c>
      <c r="L95" s="19" t="inlineStr"/>
      <c r="M95" s="20" t="n"/>
      <c r="N95" s="21" t="n"/>
      <c r="O95" s="20" t="n"/>
      <c r="P95" s="22">
        <f>IF(M95="","",IF(OR(M95="OOTB",M95="Konfigurace",M95="Custom vývoj"),IF(O95="","CHYBÍ odkaz FS","OK"),"N/A"))</f>
        <v/>
      </c>
      <c r="Q95" s="22">
        <f>IF(F95="Must",3,IF(F95="Should",2,IF(F95="Could",1,0)))</f>
        <v/>
      </c>
      <c r="R95" s="22">
        <f>IF(M95="","",IF(M95="OOTB",5,IF(M95="Konfigurace",3,IF(M95="Custom vývoj",1,IF(OR(M95="3rd party",M95="Nesplněno"),0,"")))))</f>
        <v/>
      </c>
      <c r="S95" s="23" t="n"/>
      <c r="T95" s="22">
        <f>IF(R95="","",IF(OR(P95="CHYBÍ odkaz FS",S95="Ne"),0,R95))</f>
        <v/>
      </c>
      <c r="U95" s="22">
        <f>IF(G95&lt;&gt;"Ano","",IF(M95="","",IF(OR(M95="Nesplněno",M95="3rd party",M95="Neakceptuje",S95="Ne",P95="CHYBÍ odkaz FS"),"FAIL",IF(M95="Akceptuje s výhradou","K VYJASNĚNÍ","PASS"))))</f>
        <v/>
      </c>
      <c r="V95" s="22">
        <f>IF(AND(J95="Byznys (30 %)",G95&lt;&gt;"Ano",ISNUMBER(T95)),T95*Q95,0)</f>
        <v/>
      </c>
      <c r="W95" s="22">
        <f>IF(AND(J95="Byznys (30 %)",G95&lt;&gt;"Ano",F95&lt;&gt;"Won't"),5*Q95,0)</f>
        <v/>
      </c>
      <c r="X95" s="24" t="n"/>
    </row>
    <row r="96">
      <c r="A96" s="18" t="inlineStr">
        <is>
          <t>LEG-006</t>
        </is>
      </c>
      <c r="B96" s="18" t="inlineStr">
        <is>
          <t>LEG</t>
        </is>
      </c>
      <c r="C96" s="19" t="inlineStr">
        <is>
          <t>Exitová součinnost min. 12 měsíců, export všech dat v otevřeném strojově čitelném formátu a přechodné období provozu; ocenění v cenové šabloně.</t>
        </is>
      </c>
      <c r="D96" s="19" t="inlineStr">
        <is>
          <t>DORA čl. 28 odst. 8; EBA/GL/2019/02</t>
        </is>
      </c>
      <c r="E96" s="18" t="inlineStr">
        <is>
          <t>Legal</t>
        </is>
      </c>
      <c r="F96" s="18" t="inlineStr">
        <is>
          <t>Must</t>
        </is>
      </c>
      <c r="G96" s="18" t="inlineStr">
        <is>
          <t>Ne</t>
        </is>
      </c>
      <c r="H96" s="19" t="inlineStr">
        <is>
          <t>Exitový plán je součástí FS (kap. 10).</t>
        </is>
      </c>
      <c r="I96" s="18" t="inlineStr">
        <is>
          <t>10</t>
        </is>
      </c>
      <c r="J96" s="18" t="inlineStr">
        <is>
          <t>Smluvní podmínka</t>
        </is>
      </c>
      <c r="K96" s="18" t="inlineStr">
        <is>
          <t>Schváleno</t>
        </is>
      </c>
      <c r="L96" s="19" t="inlineStr"/>
      <c r="M96" s="20" t="n"/>
      <c r="N96" s="21" t="n"/>
      <c r="O96" s="20" t="n"/>
      <c r="P96" s="22">
        <f>IF(M96="","",IF(OR(M96="OOTB",M96="Konfigurace",M96="Custom vývoj"),IF(O96="","CHYBÍ odkaz FS","OK"),"N/A"))</f>
        <v/>
      </c>
      <c r="Q96" s="22">
        <f>IF(F96="Must",3,IF(F96="Should",2,IF(F96="Could",1,0)))</f>
        <v/>
      </c>
      <c r="R96" s="22">
        <f>IF(M96="","",IF(M96="OOTB",5,IF(M96="Konfigurace",3,IF(M96="Custom vývoj",1,IF(OR(M96="3rd party",M96="Nesplněno"),0,"")))))</f>
        <v/>
      </c>
      <c r="S96" s="23" t="n"/>
      <c r="T96" s="22">
        <f>IF(R96="","",IF(OR(P96="CHYBÍ odkaz FS",S96="Ne"),0,R96))</f>
        <v/>
      </c>
      <c r="U96" s="22">
        <f>IF(G96&lt;&gt;"Ano","",IF(M96="","",IF(OR(M96="Nesplněno",M96="3rd party",M96="Neakceptuje",S96="Ne",P96="CHYBÍ odkaz FS"),"FAIL",IF(M96="Akceptuje s výhradou","K VYJASNĚNÍ","PASS"))))</f>
        <v/>
      </c>
      <c r="V96" s="22">
        <f>IF(AND(J96="Byznys (30 %)",G96&lt;&gt;"Ano",ISNUMBER(T96)),T96*Q96,0)</f>
        <v/>
      </c>
      <c r="W96" s="22">
        <f>IF(AND(J96="Byznys (30 %)",G96&lt;&gt;"Ano",F96&lt;&gt;"Won't"),5*Q96,0)</f>
        <v/>
      </c>
      <c r="X96" s="24" t="n"/>
    </row>
    <row r="97">
      <c r="A97" s="18" t="inlineStr">
        <is>
          <t>LEG-007</t>
        </is>
      </c>
      <c r="B97" s="18" t="inlineStr">
        <is>
          <t>LEG</t>
        </is>
      </c>
      <c r="C97" s="19" t="inlineStr">
        <is>
          <t>Úschova zdrojového kódu (escrow) nebo jiná záruka kontinuity při insolvenci či ukončení produktu.</t>
        </is>
      </c>
      <c r="D97" s="19" t="inlineStr">
        <is>
          <t>Řízení rizik dodavatele</t>
        </is>
      </c>
      <c r="E97" s="18" t="inlineStr">
        <is>
          <t>Legal</t>
        </is>
      </c>
      <c r="F97" s="18" t="inlineStr">
        <is>
          <t>Should</t>
        </is>
      </c>
      <c r="G97" s="18" t="inlineStr">
        <is>
          <t>Ne</t>
        </is>
      </c>
      <c r="H97" s="19" t="inlineStr">
        <is>
          <t>Návrh escrow ujednání.</t>
        </is>
      </c>
      <c r="I97" s="18" t="inlineStr">
        <is>
          <t>10</t>
        </is>
      </c>
      <c r="J97" s="18" t="inlineStr">
        <is>
          <t>Smluvní podmínka</t>
        </is>
      </c>
      <c r="K97" s="18" t="inlineStr">
        <is>
          <t>Schváleno</t>
        </is>
      </c>
      <c r="L97" s="19" t="inlineStr"/>
      <c r="M97" s="20" t="n"/>
      <c r="N97" s="21" t="n"/>
      <c r="O97" s="20" t="n"/>
      <c r="P97" s="22">
        <f>IF(M97="","",IF(OR(M97="OOTB",M97="Konfigurace",M97="Custom vývoj"),IF(O97="","CHYBÍ odkaz FS","OK"),"N/A"))</f>
        <v/>
      </c>
      <c r="Q97" s="22">
        <f>IF(F97="Must",3,IF(F97="Should",2,IF(F97="Could",1,0)))</f>
        <v/>
      </c>
      <c r="R97" s="22">
        <f>IF(M97="","",IF(M97="OOTB",5,IF(M97="Konfigurace",3,IF(M97="Custom vývoj",1,IF(OR(M97="3rd party",M97="Nesplněno"),0,"")))))</f>
        <v/>
      </c>
      <c r="S97" s="23" t="n"/>
      <c r="T97" s="22">
        <f>IF(R97="","",IF(OR(P97="CHYBÍ odkaz FS",S97="Ne"),0,R97))</f>
        <v/>
      </c>
      <c r="U97" s="22">
        <f>IF(G97&lt;&gt;"Ano","",IF(M97="","",IF(OR(M97="Nesplněno",M97="3rd party",M97="Neakceptuje",S97="Ne",P97="CHYBÍ odkaz FS"),"FAIL",IF(M97="Akceptuje s výhradou","K VYJASNĚNÍ","PASS"))))</f>
        <v/>
      </c>
      <c r="V97" s="22">
        <f>IF(AND(J97="Byznys (30 %)",G97&lt;&gt;"Ano",ISNUMBER(T97)),T97*Q97,0)</f>
        <v/>
      </c>
      <c r="W97" s="22">
        <f>IF(AND(J97="Byznys (30 %)",G97&lt;&gt;"Ano",F97&lt;&gt;"Won't"),5*Q97,0)</f>
        <v/>
      </c>
      <c r="X97" s="24" t="n"/>
    </row>
    <row r="98">
      <c r="A98" s="18" t="inlineStr">
        <is>
          <t>LEG-008</t>
        </is>
      </c>
      <c r="B98" s="18" t="inlineStr">
        <is>
          <t>LEG</t>
        </is>
      </c>
      <c r="C98" s="19" t="inlineStr">
        <is>
          <t>Limit odpovědnosti za škodu min. ve výši 200 % ročních plateb; bez limitu u porušení mlčenlivosti, ochrany osobních údajů a úmyslu.</t>
        </is>
      </c>
      <c r="D98" s="19" t="inlineStr">
        <is>
          <t>Standard smluv Banky</t>
        </is>
      </c>
      <c r="E98" s="18" t="inlineStr">
        <is>
          <t>Legal</t>
        </is>
      </c>
      <c r="F98" s="18" t="inlineStr">
        <is>
          <t>Should</t>
        </is>
      </c>
      <c r="G98" s="18" t="inlineStr">
        <is>
          <t>Ne</t>
        </is>
      </c>
      <c r="H98" s="19" t="inlineStr">
        <is>
          <t>Výhrady budou předmětem jednání.</t>
        </is>
      </c>
      <c r="I98" s="18" t="inlineStr">
        <is>
          <t>9.1</t>
        </is>
      </c>
      <c r="J98" s="18" t="inlineStr">
        <is>
          <t>Smluvní podmínka</t>
        </is>
      </c>
      <c r="K98" s="18" t="inlineStr">
        <is>
          <t>Schváleno s úpravou</t>
        </is>
      </c>
      <c r="L98" s="19" t="inlineStr">
        <is>
          <t>Legal chtěl neomezenou odpovědnost; SteerCo schválil 200 % s tím, že výše je předmětem jednání v BAFO.</t>
        </is>
      </c>
      <c r="M98" s="20" t="n"/>
      <c r="N98" s="21" t="n"/>
      <c r="O98" s="20" t="n"/>
      <c r="P98" s="22">
        <f>IF(M98="","",IF(OR(M98="OOTB",M98="Konfigurace",M98="Custom vývoj"),IF(O98="","CHYBÍ odkaz FS","OK"),"N/A"))</f>
        <v/>
      </c>
      <c r="Q98" s="22">
        <f>IF(F98="Must",3,IF(F98="Should",2,IF(F98="Could",1,0)))</f>
        <v/>
      </c>
      <c r="R98" s="22">
        <f>IF(M98="","",IF(M98="OOTB",5,IF(M98="Konfigurace",3,IF(M98="Custom vývoj",1,IF(OR(M98="3rd party",M98="Nesplněno"),0,"")))))</f>
        <v/>
      </c>
      <c r="S98" s="23" t="n"/>
      <c r="T98" s="22">
        <f>IF(R98="","",IF(OR(P98="CHYBÍ odkaz FS",S98="Ne"),0,R98))</f>
        <v/>
      </c>
      <c r="U98" s="22">
        <f>IF(G98&lt;&gt;"Ano","",IF(M98="","",IF(OR(M98="Nesplněno",M98="3rd party",M98="Neakceptuje",S98="Ne",P98="CHYBÍ odkaz FS"),"FAIL",IF(M98="Akceptuje s výhradou","K VYJASNĚNÍ","PASS"))))</f>
        <v/>
      </c>
      <c r="V98" s="22">
        <f>IF(AND(J98="Byznys (30 %)",G98&lt;&gt;"Ano",ISNUMBER(T98)),T98*Q98,0)</f>
        <v/>
      </c>
      <c r="W98" s="22">
        <f>IF(AND(J98="Byznys (30 %)",G98&lt;&gt;"Ano",F98&lt;&gt;"Won't"),5*Q98,0)</f>
        <v/>
      </c>
      <c r="X98" s="24" t="n"/>
    </row>
    <row r="99">
      <c r="A99" s="18" t="inlineStr">
        <is>
          <t>LEG-009</t>
        </is>
      </c>
      <c r="B99" s="18" t="inlineStr">
        <is>
          <t>LEG</t>
        </is>
      </c>
      <c r="C99" s="19" t="inlineStr">
        <is>
          <t>Smlouva se řídí českým právem; spory řeší obecné soudy ČR.</t>
        </is>
      </c>
      <c r="D99" s="19" t="inlineStr">
        <is>
          <t>Standard smluv Banky</t>
        </is>
      </c>
      <c r="E99" s="18" t="inlineStr">
        <is>
          <t>Legal</t>
        </is>
      </c>
      <c r="F99" s="18" t="inlineStr">
        <is>
          <t>Must</t>
        </is>
      </c>
      <c r="G99" s="18" t="inlineStr">
        <is>
          <t>Ne</t>
        </is>
      </c>
      <c r="H99" s="19" t="inlineStr">
        <is>
          <t>Bez výhrad.</t>
        </is>
      </c>
      <c r="I99" s="18" t="inlineStr">
        <is>
          <t>9.1</t>
        </is>
      </c>
      <c r="J99" s="18" t="inlineStr">
        <is>
          <t>Smluvní podmínka</t>
        </is>
      </c>
      <c r="K99" s="18" t="inlineStr">
        <is>
          <t>Schváleno</t>
        </is>
      </c>
      <c r="L99" s="19" t="inlineStr"/>
      <c r="M99" s="20" t="n"/>
      <c r="N99" s="21" t="n"/>
      <c r="O99" s="20" t="n"/>
      <c r="P99" s="22">
        <f>IF(M99="","",IF(OR(M99="OOTB",M99="Konfigurace",M99="Custom vývoj"),IF(O99="","CHYBÍ odkaz FS","OK"),"N/A"))</f>
        <v/>
      </c>
      <c r="Q99" s="22">
        <f>IF(F99="Must",3,IF(F99="Should",2,IF(F99="Could",1,0)))</f>
        <v/>
      </c>
      <c r="R99" s="22">
        <f>IF(M99="","",IF(M99="OOTB",5,IF(M99="Konfigurace",3,IF(M99="Custom vývoj",1,IF(OR(M99="3rd party",M99="Nesplněno"),0,"")))))</f>
        <v/>
      </c>
      <c r="S99" s="23" t="n"/>
      <c r="T99" s="22">
        <f>IF(R99="","",IF(OR(P99="CHYBÍ odkaz FS",S99="Ne"),0,R99))</f>
        <v/>
      </c>
      <c r="U99" s="22">
        <f>IF(G99&lt;&gt;"Ano","",IF(M99="","",IF(OR(M99="Nesplněno",M99="3rd party",M99="Neakceptuje",S99="Ne",P99="CHYBÍ odkaz FS"),"FAIL",IF(M99="Akceptuje s výhradou","K VYJASNĚNÍ","PASS"))))</f>
        <v/>
      </c>
      <c r="V99" s="22">
        <f>IF(AND(J99="Byznys (30 %)",G99&lt;&gt;"Ano",ISNUMBER(T99)),T99*Q99,0)</f>
        <v/>
      </c>
      <c r="W99" s="22">
        <f>IF(AND(J99="Byznys (30 %)",G99&lt;&gt;"Ano",F99&lt;&gt;"Won't"),5*Q99,0)</f>
        <v/>
      </c>
      <c r="X99" s="24" t="n"/>
    </row>
    <row r="100">
      <c r="A100" s="18" t="inlineStr">
        <is>
          <t>LEG-010</t>
        </is>
      </c>
      <c r="B100" s="18" t="inlineStr">
        <is>
          <t>LEG</t>
        </is>
      </c>
      <c r="C100" s="19" t="inlineStr">
        <is>
          <t>Pojištění odpovědnosti dodavatele s limitem plnění min. 50 mil. Kč po celou dobu trvání smlouvy.</t>
        </is>
      </c>
      <c r="D100" s="19" t="inlineStr">
        <is>
          <t>Standard smluv Banky</t>
        </is>
      </c>
      <c r="E100" s="18" t="inlineStr">
        <is>
          <t>Legal</t>
        </is>
      </c>
      <c r="F100" s="18" t="inlineStr">
        <is>
          <t>Should</t>
        </is>
      </c>
      <c r="G100" s="18" t="inlineStr">
        <is>
          <t>Ne</t>
        </is>
      </c>
      <c r="H100" s="19" t="inlineStr">
        <is>
          <t>Pojistný certifikát v nabídce.</t>
        </is>
      </c>
      <c r="I100" s="18" t="inlineStr">
        <is>
          <t>12</t>
        </is>
      </c>
      <c r="J100" s="18" t="inlineStr">
        <is>
          <t>Smluvní podmínka</t>
        </is>
      </c>
      <c r="K100" s="18" t="inlineStr">
        <is>
          <t>Schváleno</t>
        </is>
      </c>
      <c r="L100" s="19" t="inlineStr"/>
      <c r="M100" s="20" t="n"/>
      <c r="N100" s="21" t="n"/>
      <c r="O100" s="20" t="n"/>
      <c r="P100" s="22">
        <f>IF(M100="","",IF(OR(M100="OOTB",M100="Konfigurace",M100="Custom vývoj"),IF(O100="","CHYBÍ odkaz FS","OK"),"N/A"))</f>
        <v/>
      </c>
      <c r="Q100" s="22">
        <f>IF(F100="Must",3,IF(F100="Should",2,IF(F100="Could",1,0)))</f>
        <v/>
      </c>
      <c r="R100" s="22">
        <f>IF(M100="","",IF(M100="OOTB",5,IF(M100="Konfigurace",3,IF(M100="Custom vývoj",1,IF(OR(M100="3rd party",M100="Nesplněno"),0,"")))))</f>
        <v/>
      </c>
      <c r="S100" s="23" t="n"/>
      <c r="T100" s="22">
        <f>IF(R100="","",IF(OR(P100="CHYBÍ odkaz FS",S100="Ne"),0,R100))</f>
        <v/>
      </c>
      <c r="U100" s="22">
        <f>IF(G100&lt;&gt;"Ano","",IF(M100="","",IF(OR(M100="Nesplněno",M100="3rd party",M100="Neakceptuje",S100="Ne",P100="CHYBÍ odkaz FS"),"FAIL",IF(M100="Akceptuje s výhradou","K VYJASNĚNÍ","PASS"))))</f>
        <v/>
      </c>
      <c r="V100" s="22">
        <f>IF(AND(J100="Byznys (30 %)",G100&lt;&gt;"Ano",ISNUMBER(T100)),T100*Q100,0)</f>
        <v/>
      </c>
      <c r="W100" s="22">
        <f>IF(AND(J100="Byznys (30 %)",G100&lt;&gt;"Ano",F100&lt;&gt;"Won't"),5*Q100,0)</f>
        <v/>
      </c>
      <c r="X10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761"/>
  <autoFilter ref="A5:X100"/>
  <conditionalFormatting sqref="U6:U100">
    <cfRule type="cellIs" priority="1" operator="equal" dxfId="0">
      <formula>"FAIL"</formula>
    </cfRule>
    <cfRule type="cellIs" priority="2" operator="equal" dxfId="1">
      <formula>"PASS"</formula>
    </cfRule>
    <cfRule type="cellIs" priority="3" operator="equal" dxfId="2">
      <formula>"K VYJASNĚNÍ"</formula>
    </cfRule>
  </conditionalFormatting>
  <conditionalFormatting sqref="K6:K100">
    <cfRule type="cellIs" priority="4" operator="equal" dxfId="2">
      <formula>"K diskusi"</formula>
    </cfRule>
  </conditionalFormatting>
  <conditionalFormatting sqref="X6:X100">
    <cfRule type="expression" priority="5" dxfId="0">
      <formula>AND(ISNUMBER(T6),T6&lt;R6,X6="")</formula>
    </cfRule>
  </conditionalFormatting>
  <conditionalFormatting sqref="P6:P100">
    <cfRule type="cellIs" priority="6" operator="equal" dxfId="0">
      <formula>"CHYBÍ odkaz FS"</formula>
    </cfRule>
    <cfRule type="cellIs" priority="7" operator="equal" dxfId="1">
      <formula>"OK"</formula>
    </cfRule>
  </conditionalFormatting>
  <dataValidations count="102">
    <dataValidation sqref="M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1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2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3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4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5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6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5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7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1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2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3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4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5" showDropDown="0" showInputMessage="0" showErrorMessage="0" allowBlank="1" errorTitle="Neplatná hodnota" error="Vyberte hodnotu ze seznamu." type="list">
      <formula1>"Akceptuje,Akceptuje s výhradou,Neakceptuje"</formula1>
    </dataValidation>
    <dataValidation sqref="M86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7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8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89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90" showDropDown="0" showInputMessage="0" showErrorMessage="0" allowBlank="1" errorTitle="Neplatná hodnota" error="Vyberte hodnotu ze seznamu." type="list">
      <formula1>"OOTB,Konfigurace,Custom vývoj,3rd party,Nesplněno"</formula1>
    </dataValidation>
    <dataValidation sqref="M91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2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3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4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5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6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7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8" showDropDown="0" showInputMessage="0" showErrorMessage="0" allowBlank="1" errorTitle="Neplatná hodnota" error="Vyberte hodnotu ze seznamu." type="list">
      <formula1>"Akceptuje,Akceptuje s výhradou,Neakceptuje"</formula1>
    </dataValidation>
    <dataValidation sqref="M99" showDropDown="0" showInputMessage="0" showErrorMessage="0" allowBlank="1" errorTitle="Neplatná hodnota" error="Vyberte hodnotu ze seznamu." type="list">
      <formula1>"Akceptuje,Akceptuje s výhradou,Neakceptuje"</formula1>
    </dataValidation>
    <dataValidation sqref="M100" showDropDown="0" showInputMessage="0" showErrorMessage="0" allowBlank="1" errorTitle="Neplatná hodnota" error="Vyberte hodnotu ze seznamu." type="list">
      <formula1>"Akceptuje,Akceptuje s výhradou,Neakceptuje"</formula1>
    </dataValidation>
    <dataValidation sqref="F6:F100" showDropDown="0" showInputMessage="0" showErrorMessage="0" allowBlank="1" errorTitle="Neplatná hodnota" error="Vyberte hodnotu ze seznamu." type="list">
      <formula1>"Must,Should,Could,Won't"</formula1>
    </dataValidation>
    <dataValidation sqref="G6:G100" showDropDown="0" showInputMessage="0" showErrorMessage="0" allowBlank="1" errorTitle="Neplatná hodnota" error="Vyberte hodnotu ze seznamu." type="list">
      <formula1>"Ano,Ne"</formula1>
    </dataValidation>
    <dataValidation sqref="B6:B100" showDropDown="0" showInputMessage="0" showErrorMessage="0" allowBlank="1" errorTitle="Neplatná hodnota" error="Vyberte hodnotu ze seznamu." type="list">
      <formula1>"KYC,SCR,TM,CAS,REP,INT,MIG,NFR,SEC,REG,LEG"</formula1>
    </dataValidation>
    <dataValidation sqref="E6:E100" showDropDown="0" showInputMessage="0" showErrorMessage="0" allowBlank="1" errorTitle="Neplatná hodnota" error="Vyberte hodnotu ze seznamu." type="list">
      <formula1>"IT,Compliance,Legal,Obchod"</formula1>
    </dataValidation>
    <dataValidation sqref="J6:J100" showDropDown="0" showInputMessage="0" showErrorMessage="0" allowBlank="1" errorTitle="Neplatná hodnota" error="Vyberte hodnotu ze seznamu." type="list">
      <formula1>"K.O. (Pass/Fail),Byznys (30 %),Podklad pro FS (20 %),Smluvní podmínka"</formula1>
    </dataValidation>
    <dataValidation sqref="K6:K100" showDropDown="0" showInputMessage="0" showErrorMessage="0" allowBlank="1" errorTitle="Neplatná hodnota" error="Vyberte hodnotu ze seznamu." type="list">
      <formula1>"Návrh,K diskusi,Schváleno s úpravou,Schváleno,Zamítnuto"</formula1>
    </dataValidation>
    <dataValidation sqref="S6:S100" showDropDown="0" showInputMessage="1" showErrorMessage="0" allowBlank="1" errorTitle="Neplatná hodnota" error="Vyberte hodnotu ze seznamu." prompt="Ano = tvrzení ověřeno ve FS / demu; Ne = neověřeno → 0 bodů" type="list">
      <formula1>"Ano,Ne"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Souhrn matice shody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Oblast</t>
        </is>
      </c>
      <c r="B5" s="14" t="inlineStr">
        <is>
          <t>Název oblasti</t>
        </is>
      </c>
      <c r="C5" s="14" t="inlineStr">
        <is>
          <t>Počet požadavků</t>
        </is>
      </c>
      <c r="D5" s="14" t="inlineStr">
        <is>
          <t>Must</t>
        </is>
      </c>
      <c r="E5" s="14" t="inlineStr">
        <is>
          <t>Should</t>
        </is>
      </c>
      <c r="F5" s="14" t="inlineStr">
        <is>
          <t>Could</t>
        </is>
      </c>
      <c r="G5" s="14" t="inlineStr">
        <is>
          <t>K.O.</t>
        </is>
      </c>
      <c r="H5" s="14" t="inlineStr">
        <is>
          <t>Vyplněno dodavatelem</t>
        </is>
      </c>
      <c r="I5" s="14" t="inlineStr">
        <is>
          <t>Custom vývoj</t>
        </is>
      </c>
      <c r="J5" s="14" t="inlineStr">
        <is>
          <t>Nesplněno / 3rd party</t>
        </is>
      </c>
      <c r="K5" s="14" t="inlineStr">
        <is>
          <t>Chybí odkaz FS</t>
        </is>
      </c>
    </row>
    <row r="6">
      <c r="A6" s="26" t="inlineStr">
        <is>
          <t>KYC</t>
        </is>
      </c>
      <c r="B6" s="26" t="inlineStr">
        <is>
          <t>Onboarding a kontrola klienta (KYC/CDD)</t>
        </is>
      </c>
      <c r="C6" s="26">
        <f>COUNTIF('Požadavky'!$B$6:$B$100,A6)</f>
        <v/>
      </c>
      <c r="D6" s="26">
        <f>COUNTIFS('Požadavky'!$B$6:$B$100,A6,'Požadavky'!$F$6:$F$100,"Must")</f>
        <v/>
      </c>
      <c r="E6" s="26">
        <f>COUNTIFS('Požadavky'!$B$6:$B$100,A6,'Požadavky'!$F$6:$F$100,"Should")</f>
        <v/>
      </c>
      <c r="F6" s="26">
        <f>COUNTIFS('Požadavky'!$B$6:$B$100,A6,'Požadavky'!$F$6:$F$100,"Could")</f>
        <v/>
      </c>
      <c r="G6" s="26">
        <f>COUNTIFS('Požadavky'!$B$6:$B$100,A6,'Požadavky'!$G$6:$G$100,"Ano")</f>
        <v/>
      </c>
      <c r="H6" s="26">
        <f>COUNTIFS('Požadavky'!$B$6:$B$100,A6,'Požadavky'!$M$6:$M$100,"&lt;&gt;")</f>
        <v/>
      </c>
      <c r="I6" s="26">
        <f>COUNTIFS('Požadavky'!$B$6:$B$100,A6,'Požadavky'!$M$6:$M$100,"Custom vývoj")</f>
        <v/>
      </c>
      <c r="J6" s="26">
        <f>COUNTIFS('Požadavky'!$B$6:$B$100,A6,'Požadavky'!$M$6:$M$100,"Nesplněno")+COUNTIFS('Požadavky'!$B$6:$B$100,A6,'Požadavky'!$M$6:$M$100,"3rd party")</f>
        <v/>
      </c>
      <c r="K6" s="26">
        <f>COUNTIFS('Požadavky'!$B$6:$B$100,A6,'Požadavky'!$P$6:$P$100,"CHYBÍ odkaz FS")</f>
        <v/>
      </c>
    </row>
    <row r="7">
      <c r="A7" s="26" t="inlineStr">
        <is>
          <t>SCR</t>
        </is>
      </c>
      <c r="B7" s="26" t="inlineStr">
        <is>
          <t>Screening (sankce, PEP, adverse media)</t>
        </is>
      </c>
      <c r="C7" s="26">
        <f>COUNTIF('Požadavky'!$B$6:$B$100,A7)</f>
        <v/>
      </c>
      <c r="D7" s="26">
        <f>COUNTIFS('Požadavky'!$B$6:$B$100,A7,'Požadavky'!$F$6:$F$100,"Must")</f>
        <v/>
      </c>
      <c r="E7" s="26">
        <f>COUNTIFS('Požadavky'!$B$6:$B$100,A7,'Požadavky'!$F$6:$F$100,"Should")</f>
        <v/>
      </c>
      <c r="F7" s="26">
        <f>COUNTIFS('Požadavky'!$B$6:$B$100,A7,'Požadavky'!$F$6:$F$100,"Could")</f>
        <v/>
      </c>
      <c r="G7" s="26">
        <f>COUNTIFS('Požadavky'!$B$6:$B$100,A7,'Požadavky'!$G$6:$G$100,"Ano")</f>
        <v/>
      </c>
      <c r="H7" s="26">
        <f>COUNTIFS('Požadavky'!$B$6:$B$100,A7,'Požadavky'!$M$6:$M$100,"&lt;&gt;")</f>
        <v/>
      </c>
      <c r="I7" s="26">
        <f>COUNTIFS('Požadavky'!$B$6:$B$100,A7,'Požadavky'!$M$6:$M$100,"Custom vývoj")</f>
        <v/>
      </c>
      <c r="J7" s="26">
        <f>COUNTIFS('Požadavky'!$B$6:$B$100,A7,'Požadavky'!$M$6:$M$100,"Nesplněno")+COUNTIFS('Požadavky'!$B$6:$B$100,A7,'Požadavky'!$M$6:$M$100,"3rd party")</f>
        <v/>
      </c>
      <c r="K7" s="26">
        <f>COUNTIFS('Požadavky'!$B$6:$B$100,A7,'Požadavky'!$P$6:$P$100,"CHYBÍ odkaz FS")</f>
        <v/>
      </c>
    </row>
    <row r="8">
      <c r="A8" s="26" t="inlineStr">
        <is>
          <t>TM</t>
        </is>
      </c>
      <c r="B8" s="26" t="inlineStr">
        <is>
          <t>Monitoring transakcí</t>
        </is>
      </c>
      <c r="C8" s="26">
        <f>COUNTIF('Požadavky'!$B$6:$B$100,A8)</f>
        <v/>
      </c>
      <c r="D8" s="26">
        <f>COUNTIFS('Požadavky'!$B$6:$B$100,A8,'Požadavky'!$F$6:$F$100,"Must")</f>
        <v/>
      </c>
      <c r="E8" s="26">
        <f>COUNTIFS('Požadavky'!$B$6:$B$100,A8,'Požadavky'!$F$6:$F$100,"Should")</f>
        <v/>
      </c>
      <c r="F8" s="26">
        <f>COUNTIFS('Požadavky'!$B$6:$B$100,A8,'Požadavky'!$F$6:$F$100,"Could")</f>
        <v/>
      </c>
      <c r="G8" s="26">
        <f>COUNTIFS('Požadavky'!$B$6:$B$100,A8,'Požadavky'!$G$6:$G$100,"Ano")</f>
        <v/>
      </c>
      <c r="H8" s="26">
        <f>COUNTIFS('Požadavky'!$B$6:$B$100,A8,'Požadavky'!$M$6:$M$100,"&lt;&gt;")</f>
        <v/>
      </c>
      <c r="I8" s="26">
        <f>COUNTIFS('Požadavky'!$B$6:$B$100,A8,'Požadavky'!$M$6:$M$100,"Custom vývoj")</f>
        <v/>
      </c>
      <c r="J8" s="26">
        <f>COUNTIFS('Požadavky'!$B$6:$B$100,A8,'Požadavky'!$M$6:$M$100,"Nesplněno")+COUNTIFS('Požadavky'!$B$6:$B$100,A8,'Požadavky'!$M$6:$M$100,"3rd party")</f>
        <v/>
      </c>
      <c r="K8" s="26">
        <f>COUNTIFS('Požadavky'!$B$6:$B$100,A8,'Požadavky'!$P$6:$P$100,"CHYBÍ odkaz FS")</f>
        <v/>
      </c>
    </row>
    <row r="9">
      <c r="A9" s="26" t="inlineStr">
        <is>
          <t>CAS</t>
        </is>
      </c>
      <c r="B9" s="26" t="inlineStr">
        <is>
          <t>Správa případů a rozhodování</t>
        </is>
      </c>
      <c r="C9" s="26">
        <f>COUNTIF('Požadavky'!$B$6:$B$100,A9)</f>
        <v/>
      </c>
      <c r="D9" s="26">
        <f>COUNTIFS('Požadavky'!$B$6:$B$100,A9,'Požadavky'!$F$6:$F$100,"Must")</f>
        <v/>
      </c>
      <c r="E9" s="26">
        <f>COUNTIFS('Požadavky'!$B$6:$B$100,A9,'Požadavky'!$F$6:$F$100,"Should")</f>
        <v/>
      </c>
      <c r="F9" s="26">
        <f>COUNTIFS('Požadavky'!$B$6:$B$100,A9,'Požadavky'!$F$6:$F$100,"Could")</f>
        <v/>
      </c>
      <c r="G9" s="26">
        <f>COUNTIFS('Požadavky'!$B$6:$B$100,A9,'Požadavky'!$G$6:$G$100,"Ano")</f>
        <v/>
      </c>
      <c r="H9" s="26">
        <f>COUNTIFS('Požadavky'!$B$6:$B$100,A9,'Požadavky'!$M$6:$M$100,"&lt;&gt;")</f>
        <v/>
      </c>
      <c r="I9" s="26">
        <f>COUNTIFS('Požadavky'!$B$6:$B$100,A9,'Požadavky'!$M$6:$M$100,"Custom vývoj")</f>
        <v/>
      </c>
      <c r="J9" s="26">
        <f>COUNTIFS('Požadavky'!$B$6:$B$100,A9,'Požadavky'!$M$6:$M$100,"Nesplněno")+COUNTIFS('Požadavky'!$B$6:$B$100,A9,'Požadavky'!$M$6:$M$100,"3rd party")</f>
        <v/>
      </c>
      <c r="K9" s="26">
        <f>COUNTIFS('Požadavky'!$B$6:$B$100,A9,'Požadavky'!$P$6:$P$100,"CHYBÍ odkaz FS")</f>
        <v/>
      </c>
    </row>
    <row r="10">
      <c r="A10" s="26" t="inlineStr">
        <is>
          <t>REP</t>
        </is>
      </c>
      <c r="B10" s="26" t="inlineStr">
        <is>
          <t>Reporting a součinnost s FAÚ</t>
        </is>
      </c>
      <c r="C10" s="26">
        <f>COUNTIF('Požadavky'!$B$6:$B$100,A10)</f>
        <v/>
      </c>
      <c r="D10" s="26">
        <f>COUNTIFS('Požadavky'!$B$6:$B$100,A10,'Požadavky'!$F$6:$F$100,"Must")</f>
        <v/>
      </c>
      <c r="E10" s="26">
        <f>COUNTIFS('Požadavky'!$B$6:$B$100,A10,'Požadavky'!$F$6:$F$100,"Should")</f>
        <v/>
      </c>
      <c r="F10" s="26">
        <f>COUNTIFS('Požadavky'!$B$6:$B$100,A10,'Požadavky'!$F$6:$F$100,"Could")</f>
        <v/>
      </c>
      <c r="G10" s="26">
        <f>COUNTIFS('Požadavky'!$B$6:$B$100,A10,'Požadavky'!$G$6:$G$100,"Ano")</f>
        <v/>
      </c>
      <c r="H10" s="26">
        <f>COUNTIFS('Požadavky'!$B$6:$B$100,A10,'Požadavky'!$M$6:$M$100,"&lt;&gt;")</f>
        <v/>
      </c>
      <c r="I10" s="26">
        <f>COUNTIFS('Požadavky'!$B$6:$B$100,A10,'Požadavky'!$M$6:$M$100,"Custom vývoj")</f>
        <v/>
      </c>
      <c r="J10" s="26">
        <f>COUNTIFS('Požadavky'!$B$6:$B$100,A10,'Požadavky'!$M$6:$M$100,"Nesplněno")+COUNTIFS('Požadavky'!$B$6:$B$100,A10,'Požadavky'!$M$6:$M$100,"3rd party")</f>
        <v/>
      </c>
      <c r="K10" s="26">
        <f>COUNTIFS('Požadavky'!$B$6:$B$100,A10,'Požadavky'!$P$6:$P$100,"CHYBÍ odkaz FS")</f>
        <v/>
      </c>
    </row>
    <row r="11">
      <c r="A11" s="26" t="inlineStr">
        <is>
          <t>INT</t>
        </is>
      </c>
      <c r="B11" s="26" t="inlineStr">
        <is>
          <t>Integrace</t>
        </is>
      </c>
      <c r="C11" s="26">
        <f>COUNTIF('Požadavky'!$B$6:$B$100,A11)</f>
        <v/>
      </c>
      <c r="D11" s="26">
        <f>COUNTIFS('Požadavky'!$B$6:$B$100,A11,'Požadavky'!$F$6:$F$100,"Must")</f>
        <v/>
      </c>
      <c r="E11" s="26">
        <f>COUNTIFS('Požadavky'!$B$6:$B$100,A11,'Požadavky'!$F$6:$F$100,"Should")</f>
        <v/>
      </c>
      <c r="F11" s="26">
        <f>COUNTIFS('Požadavky'!$B$6:$B$100,A11,'Požadavky'!$F$6:$F$100,"Could")</f>
        <v/>
      </c>
      <c r="G11" s="26">
        <f>COUNTIFS('Požadavky'!$B$6:$B$100,A11,'Požadavky'!$G$6:$G$100,"Ano")</f>
        <v/>
      </c>
      <c r="H11" s="26">
        <f>COUNTIFS('Požadavky'!$B$6:$B$100,A11,'Požadavky'!$M$6:$M$100,"&lt;&gt;")</f>
        <v/>
      </c>
      <c r="I11" s="26">
        <f>COUNTIFS('Požadavky'!$B$6:$B$100,A11,'Požadavky'!$M$6:$M$100,"Custom vývoj")</f>
        <v/>
      </c>
      <c r="J11" s="26">
        <f>COUNTIFS('Požadavky'!$B$6:$B$100,A11,'Požadavky'!$M$6:$M$100,"Nesplněno")+COUNTIFS('Požadavky'!$B$6:$B$100,A11,'Požadavky'!$M$6:$M$100,"3rd party")</f>
        <v/>
      </c>
      <c r="K11" s="26">
        <f>COUNTIFS('Požadavky'!$B$6:$B$100,A11,'Požadavky'!$P$6:$P$100,"CHYBÍ odkaz FS")</f>
        <v/>
      </c>
    </row>
    <row r="12">
      <c r="A12" s="26" t="inlineStr">
        <is>
          <t>MIG</t>
        </is>
      </c>
      <c r="B12" s="26" t="inlineStr">
        <is>
          <t>Datová migrace</t>
        </is>
      </c>
      <c r="C12" s="26">
        <f>COUNTIF('Požadavky'!$B$6:$B$100,A12)</f>
        <v/>
      </c>
      <c r="D12" s="26">
        <f>COUNTIFS('Požadavky'!$B$6:$B$100,A12,'Požadavky'!$F$6:$F$100,"Must")</f>
        <v/>
      </c>
      <c r="E12" s="26">
        <f>COUNTIFS('Požadavky'!$B$6:$B$100,A12,'Požadavky'!$F$6:$F$100,"Should")</f>
        <v/>
      </c>
      <c r="F12" s="26">
        <f>COUNTIFS('Požadavky'!$B$6:$B$100,A12,'Požadavky'!$F$6:$F$100,"Could")</f>
        <v/>
      </c>
      <c r="G12" s="26">
        <f>COUNTIFS('Požadavky'!$B$6:$B$100,A12,'Požadavky'!$G$6:$G$100,"Ano")</f>
        <v/>
      </c>
      <c r="H12" s="26">
        <f>COUNTIFS('Požadavky'!$B$6:$B$100,A12,'Požadavky'!$M$6:$M$100,"&lt;&gt;")</f>
        <v/>
      </c>
      <c r="I12" s="26">
        <f>COUNTIFS('Požadavky'!$B$6:$B$100,A12,'Požadavky'!$M$6:$M$100,"Custom vývoj")</f>
        <v/>
      </c>
      <c r="J12" s="26">
        <f>COUNTIFS('Požadavky'!$B$6:$B$100,A12,'Požadavky'!$M$6:$M$100,"Nesplněno")+COUNTIFS('Požadavky'!$B$6:$B$100,A12,'Požadavky'!$M$6:$M$100,"3rd party")</f>
        <v/>
      </c>
      <c r="K12" s="26">
        <f>COUNTIFS('Požadavky'!$B$6:$B$100,A12,'Požadavky'!$P$6:$P$100,"CHYBÍ odkaz FS")</f>
        <v/>
      </c>
    </row>
    <row r="13">
      <c r="A13" s="26" t="inlineStr">
        <is>
          <t>NFR</t>
        </is>
      </c>
      <c r="B13" s="26" t="inlineStr">
        <is>
          <t>Nefunkční požadavky</t>
        </is>
      </c>
      <c r="C13" s="26">
        <f>COUNTIF('Požadavky'!$B$6:$B$100,A13)</f>
        <v/>
      </c>
      <c r="D13" s="26">
        <f>COUNTIFS('Požadavky'!$B$6:$B$100,A13,'Požadavky'!$F$6:$F$100,"Must")</f>
        <v/>
      </c>
      <c r="E13" s="26">
        <f>COUNTIFS('Požadavky'!$B$6:$B$100,A13,'Požadavky'!$F$6:$F$100,"Should")</f>
        <v/>
      </c>
      <c r="F13" s="26">
        <f>COUNTIFS('Požadavky'!$B$6:$B$100,A13,'Požadavky'!$F$6:$F$100,"Could")</f>
        <v/>
      </c>
      <c r="G13" s="26">
        <f>COUNTIFS('Požadavky'!$B$6:$B$100,A13,'Požadavky'!$G$6:$G$100,"Ano")</f>
        <v/>
      </c>
      <c r="H13" s="26">
        <f>COUNTIFS('Požadavky'!$B$6:$B$100,A13,'Požadavky'!$M$6:$M$100,"&lt;&gt;")</f>
        <v/>
      </c>
      <c r="I13" s="26">
        <f>COUNTIFS('Požadavky'!$B$6:$B$100,A13,'Požadavky'!$M$6:$M$100,"Custom vývoj")</f>
        <v/>
      </c>
      <c r="J13" s="26">
        <f>COUNTIFS('Požadavky'!$B$6:$B$100,A13,'Požadavky'!$M$6:$M$100,"Nesplněno")+COUNTIFS('Požadavky'!$B$6:$B$100,A13,'Požadavky'!$M$6:$M$100,"3rd party")</f>
        <v/>
      </c>
      <c r="K13" s="26">
        <f>COUNTIFS('Požadavky'!$B$6:$B$100,A13,'Požadavky'!$P$6:$P$100,"CHYBÍ odkaz FS")</f>
        <v/>
      </c>
    </row>
    <row r="14">
      <c r="A14" s="26" t="inlineStr">
        <is>
          <t>SEC</t>
        </is>
      </c>
      <c r="B14" s="26" t="inlineStr">
        <is>
          <t>Bezpečnost</t>
        </is>
      </c>
      <c r="C14" s="26">
        <f>COUNTIF('Požadavky'!$B$6:$B$100,A14)</f>
        <v/>
      </c>
      <c r="D14" s="26">
        <f>COUNTIFS('Požadavky'!$B$6:$B$100,A14,'Požadavky'!$F$6:$F$100,"Must")</f>
        <v/>
      </c>
      <c r="E14" s="26">
        <f>COUNTIFS('Požadavky'!$B$6:$B$100,A14,'Požadavky'!$F$6:$F$100,"Should")</f>
        <v/>
      </c>
      <c r="F14" s="26">
        <f>COUNTIFS('Požadavky'!$B$6:$B$100,A14,'Požadavky'!$F$6:$F$100,"Could")</f>
        <v/>
      </c>
      <c r="G14" s="26">
        <f>COUNTIFS('Požadavky'!$B$6:$B$100,A14,'Požadavky'!$G$6:$G$100,"Ano")</f>
        <v/>
      </c>
      <c r="H14" s="26">
        <f>COUNTIFS('Požadavky'!$B$6:$B$100,A14,'Požadavky'!$M$6:$M$100,"&lt;&gt;")</f>
        <v/>
      </c>
      <c r="I14" s="26">
        <f>COUNTIFS('Požadavky'!$B$6:$B$100,A14,'Požadavky'!$M$6:$M$100,"Custom vývoj")</f>
        <v/>
      </c>
      <c r="J14" s="26">
        <f>COUNTIFS('Požadavky'!$B$6:$B$100,A14,'Požadavky'!$M$6:$M$100,"Nesplněno")+COUNTIFS('Požadavky'!$B$6:$B$100,A14,'Požadavky'!$M$6:$M$100,"3rd party")</f>
        <v/>
      </c>
      <c r="K14" s="26">
        <f>COUNTIFS('Požadavky'!$B$6:$B$100,A14,'Požadavky'!$P$6:$P$100,"CHYBÍ odkaz FS")</f>
        <v/>
      </c>
    </row>
    <row r="15">
      <c r="A15" s="26" t="inlineStr">
        <is>
          <t>REG</t>
        </is>
      </c>
      <c r="B15" s="26" t="inlineStr">
        <is>
          <t>Regulatorní soulad a auditovatelnost</t>
        </is>
      </c>
      <c r="C15" s="26">
        <f>COUNTIF('Požadavky'!$B$6:$B$100,A15)</f>
        <v/>
      </c>
      <c r="D15" s="26">
        <f>COUNTIFS('Požadavky'!$B$6:$B$100,A15,'Požadavky'!$F$6:$F$100,"Must")</f>
        <v/>
      </c>
      <c r="E15" s="26">
        <f>COUNTIFS('Požadavky'!$B$6:$B$100,A15,'Požadavky'!$F$6:$F$100,"Should")</f>
        <v/>
      </c>
      <c r="F15" s="26">
        <f>COUNTIFS('Požadavky'!$B$6:$B$100,A15,'Požadavky'!$F$6:$F$100,"Could")</f>
        <v/>
      </c>
      <c r="G15" s="26">
        <f>COUNTIFS('Požadavky'!$B$6:$B$100,A15,'Požadavky'!$G$6:$G$100,"Ano")</f>
        <v/>
      </c>
      <c r="H15" s="26">
        <f>COUNTIFS('Požadavky'!$B$6:$B$100,A15,'Požadavky'!$M$6:$M$100,"&lt;&gt;")</f>
        <v/>
      </c>
      <c r="I15" s="26">
        <f>COUNTIFS('Požadavky'!$B$6:$B$100,A15,'Požadavky'!$M$6:$M$100,"Custom vývoj")</f>
        <v/>
      </c>
      <c r="J15" s="26">
        <f>COUNTIFS('Požadavky'!$B$6:$B$100,A15,'Požadavky'!$M$6:$M$100,"Nesplněno")+COUNTIFS('Požadavky'!$B$6:$B$100,A15,'Požadavky'!$M$6:$M$100,"3rd party")</f>
        <v/>
      </c>
      <c r="K15" s="26">
        <f>COUNTIFS('Požadavky'!$B$6:$B$100,A15,'Požadavky'!$P$6:$P$100,"CHYBÍ odkaz FS")</f>
        <v/>
      </c>
    </row>
    <row r="16">
      <c r="A16" s="26" t="inlineStr">
        <is>
          <t>LEG</t>
        </is>
      </c>
      <c r="B16" s="26" t="inlineStr">
        <is>
          <t>Právní a smluvní požadavky</t>
        </is>
      </c>
      <c r="C16" s="26">
        <f>COUNTIF('Požadavky'!$B$6:$B$100,A16)</f>
        <v/>
      </c>
      <c r="D16" s="26">
        <f>COUNTIFS('Požadavky'!$B$6:$B$100,A16,'Požadavky'!$F$6:$F$100,"Must")</f>
        <v/>
      </c>
      <c r="E16" s="26">
        <f>COUNTIFS('Požadavky'!$B$6:$B$100,A16,'Požadavky'!$F$6:$F$100,"Should")</f>
        <v/>
      </c>
      <c r="F16" s="26">
        <f>COUNTIFS('Požadavky'!$B$6:$B$100,A16,'Požadavky'!$F$6:$F$100,"Could")</f>
        <v/>
      </c>
      <c r="G16" s="26">
        <f>COUNTIFS('Požadavky'!$B$6:$B$100,A16,'Požadavky'!$G$6:$G$100,"Ano")</f>
        <v/>
      </c>
      <c r="H16" s="26">
        <f>COUNTIFS('Požadavky'!$B$6:$B$100,A16,'Požadavky'!$M$6:$M$100,"&lt;&gt;")</f>
        <v/>
      </c>
      <c r="I16" s="26">
        <f>COUNTIFS('Požadavky'!$B$6:$B$100,A16,'Požadavky'!$M$6:$M$100,"Custom vývoj")</f>
        <v/>
      </c>
      <c r="J16" s="26">
        <f>COUNTIFS('Požadavky'!$B$6:$B$100,A16,'Požadavky'!$M$6:$M$100,"Nesplněno")+COUNTIFS('Požadavky'!$B$6:$B$100,A16,'Požadavky'!$M$6:$M$100,"3rd party")</f>
        <v/>
      </c>
      <c r="K16" s="26">
        <f>COUNTIFS('Požadavky'!$B$6:$B$100,A16,'Požadavky'!$P$6:$P$100,"CHYBÍ odkaz FS")</f>
        <v/>
      </c>
    </row>
    <row r="17">
      <c r="A17" s="27" t="inlineStr">
        <is>
          <t>Celkem</t>
        </is>
      </c>
      <c r="B17" s="26" t="n"/>
      <c r="C17" s="27">
        <f>SUM(C6:C16)</f>
        <v/>
      </c>
      <c r="D17" s="27">
        <f>SUM(D6:D16)</f>
        <v/>
      </c>
      <c r="E17" s="27">
        <f>SUM(E6:E16)</f>
        <v/>
      </c>
      <c r="F17" s="27">
        <f>SUM(F6:F16)</f>
        <v/>
      </c>
      <c r="G17" s="27">
        <f>SUM(G6:G16)</f>
        <v/>
      </c>
      <c r="H17" s="27">
        <f>SUM(H6:H16)</f>
        <v/>
      </c>
      <c r="I17" s="27">
        <f>SUM(I6:I16)</f>
        <v/>
      </c>
      <c r="J17" s="27">
        <f>SUM(J6:J16)</f>
        <v/>
      </c>
      <c r="K17" s="27">
        <f>SUM(K6:K16)</f>
        <v/>
      </c>
    </row>
    <row r="19">
      <c r="A19" s="4" t="inlineStr">
        <is>
          <t>Vyhodnocení (po doplnění odpovědí dodavatele)</t>
        </is>
      </c>
    </row>
    <row r="20">
      <c r="A20" t="inlineStr">
        <is>
          <t>Pokrytí byznys funkcionalit (vážené)</t>
        </is>
      </c>
      <c r="B20" s="28">
        <f>IFERROR(SUM('Požadavky'!$V$6:$V$100)/SUM('Požadavky'!$W$6:$W$100),0)</f>
        <v/>
      </c>
    </row>
    <row r="21">
      <c r="A21" t="inlineStr">
        <is>
          <t>Body za Byznys funkcionality (max. 30)</t>
        </is>
      </c>
      <c r="B21" s="29">
        <f>B20*30</f>
        <v/>
      </c>
    </row>
    <row r="22">
      <c r="A22" t="inlineStr">
        <is>
          <t>Počet K.O. = FAIL</t>
        </is>
      </c>
      <c r="B22" s="30">
        <f>COUNTIF('Požadavky'!$U$6:$U$100,"FAIL")</f>
        <v/>
      </c>
    </row>
    <row r="23">
      <c r="A23" t="inlineStr">
        <is>
          <t>Počet K.O. = K VYJASNĚNÍ</t>
        </is>
      </c>
      <c r="B23" s="30">
        <f>COUNTIF('Požadavky'!$U$6:$U$100,"K VYJASNĚNÍ")</f>
        <v/>
      </c>
    </row>
    <row r="24">
      <c r="A24" t="inlineStr">
        <is>
          <t>Výsledek K.O. brány</t>
        </is>
      </c>
      <c r="B24" s="31">
        <f>IF(COUNTIF('Požadavky'!$M$6:$M$100,"&lt;&gt;")=0,"čeká na nabídku",IF(B22&gt;0,"VYŘAZEN","POSTUPUJE"))</f>
        <v/>
      </c>
    </row>
    <row r="25">
      <c r="A25" t="inlineStr">
        <is>
          <t>Požadavky ve stavu K diskusi (musí být 0 před vyhlášením)</t>
        </is>
      </c>
      <c r="B25" s="30">
        <f>COUNTIF('Požadavky'!$K$6:$K$100,"K diskusi")+COUNTIF('Požadavky'!$K$6:$K$100,"Návrh")</f>
        <v/>
      </c>
    </row>
  </sheetData>
  <conditionalFormatting sqref="B24">
    <cfRule type="cellIs" priority="1" operator="equal" dxfId="0">
      <formula>"VYŘAZEN"</formula>
    </cfRule>
  </conditionalFormatting>
  <conditionalFormatting sqref="B25"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" customWidth="1" min="3" max="3"/>
    <col width="16" customWidth="1" min="4" max="4"/>
    <col width="7" customWidth="1" min="5" max="5"/>
    <col width="46" customWidth="1" min="6" max="6"/>
    <col width="3" customWidth="1" min="7" max="7"/>
    <col width="10" customWidth="1" min="8" max="8"/>
    <col width="7" customWidth="1" min="9" max="9"/>
  </cols>
  <sheetData>
    <row r="1">
      <c r="A1" s="1" t="inlineStr">
        <is>
          <t>Číselníky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Oblast</t>
        </is>
      </c>
      <c r="B5" s="14" t="inlineStr">
        <is>
          <t>Název</t>
        </is>
      </c>
      <c r="C5" s="14" t="inlineStr"/>
      <c r="D5" s="14" t="inlineStr">
        <is>
          <t>Odpověď</t>
        </is>
      </c>
      <c r="E5" s="14" t="inlineStr">
        <is>
          <t>Body</t>
        </is>
      </c>
      <c r="F5" s="14" t="inlineStr">
        <is>
          <t>Význam</t>
        </is>
      </c>
      <c r="G5" s="14" t="inlineStr"/>
      <c r="H5" s="14" t="inlineStr">
        <is>
          <t>MoSCoW</t>
        </is>
      </c>
      <c r="I5" s="14" t="inlineStr">
        <is>
          <t>Váha</t>
        </is>
      </c>
    </row>
    <row r="6">
      <c r="A6" t="inlineStr">
        <is>
          <t>KYC</t>
        </is>
      </c>
      <c r="B6" t="inlineStr">
        <is>
          <t>Onboarding a kontrola klienta (KYC/CDD)</t>
        </is>
      </c>
      <c r="D6" t="inlineStr">
        <is>
          <t>OOTB</t>
        </is>
      </c>
      <c r="E6" t="n">
        <v>5</v>
      </c>
      <c r="F6" t="inlineStr">
        <is>
          <t>Funkce je ve standardu produktu, stačí zapnout</t>
        </is>
      </c>
      <c r="H6" t="inlineStr">
        <is>
          <t>Must</t>
        </is>
      </c>
      <c r="I6" t="n">
        <v>3</v>
      </c>
    </row>
    <row r="7">
      <c r="A7" t="inlineStr">
        <is>
          <t>SCR</t>
        </is>
      </c>
      <c r="B7" t="inlineStr">
        <is>
          <t>Screening (sankce, PEP, adverse media)</t>
        </is>
      </c>
      <c r="D7" t="inlineStr">
        <is>
          <t>Konfigurace</t>
        </is>
      </c>
      <c r="E7" t="n">
        <v>3</v>
      </c>
      <c r="F7" t="inlineStr">
        <is>
          <t>Nastavení v UI bez programování</t>
        </is>
      </c>
      <c r="H7" t="inlineStr">
        <is>
          <t>Should</t>
        </is>
      </c>
      <c r="I7" t="n">
        <v>2</v>
      </c>
    </row>
    <row r="8">
      <c r="A8" t="inlineStr">
        <is>
          <t>TM</t>
        </is>
      </c>
      <c r="B8" t="inlineStr">
        <is>
          <t>Monitoring transakcí</t>
        </is>
      </c>
      <c r="D8" t="inlineStr">
        <is>
          <t>Custom vývoj</t>
        </is>
      </c>
      <c r="E8" t="n">
        <v>1</v>
      </c>
      <c r="F8" t="inlineStr">
        <is>
          <t>Vyžaduje vývoj; zvyšuje technický dluh a TCO</t>
        </is>
      </c>
      <c r="H8" t="inlineStr">
        <is>
          <t>Could</t>
        </is>
      </c>
      <c r="I8" t="n">
        <v>1</v>
      </c>
    </row>
    <row r="9">
      <c r="A9" t="inlineStr">
        <is>
          <t>CAS</t>
        </is>
      </c>
      <c r="B9" t="inlineStr">
        <is>
          <t>Správa případů a rozhodování</t>
        </is>
      </c>
      <c r="D9" t="inlineStr">
        <is>
          <t>3rd party</t>
        </is>
      </c>
      <c r="E9" t="n">
        <v>0</v>
      </c>
      <c r="F9" t="inlineStr">
        <is>
          <t>Zajišťuje produkt třetí strany</t>
        </is>
      </c>
      <c r="H9" t="inlineStr">
        <is>
          <t>Won't</t>
        </is>
      </c>
      <c r="I9" t="n">
        <v>0</v>
      </c>
    </row>
    <row r="10">
      <c r="A10" t="inlineStr">
        <is>
          <t>REP</t>
        </is>
      </c>
      <c r="B10" t="inlineStr">
        <is>
          <t>Reporting a součinnost s FAÚ</t>
        </is>
      </c>
      <c r="D10" t="inlineStr">
        <is>
          <t>Nesplněno</t>
        </is>
      </c>
      <c r="E10" t="n">
        <v>0</v>
      </c>
      <c r="F10" t="inlineStr">
        <is>
          <t>Dodavatel neumí</t>
        </is>
      </c>
    </row>
    <row r="11">
      <c r="A11" t="inlineStr">
        <is>
          <t>INT</t>
        </is>
      </c>
      <c r="B11" t="inlineStr">
        <is>
          <t>Integrace</t>
        </is>
      </c>
    </row>
    <row r="12">
      <c r="A12" t="inlineStr">
        <is>
          <t>MIG</t>
        </is>
      </c>
      <c r="B12" t="inlineStr">
        <is>
          <t>Datová migrace</t>
        </is>
      </c>
    </row>
    <row r="13">
      <c r="A13" t="inlineStr">
        <is>
          <t>NFR</t>
        </is>
      </c>
      <c r="B13" t="inlineStr">
        <is>
          <t>Nefunkční požadavky</t>
        </is>
      </c>
    </row>
    <row r="14">
      <c r="A14" t="inlineStr">
        <is>
          <t>SEC</t>
        </is>
      </c>
      <c r="B14" t="inlineStr">
        <is>
          <t>Bezpečnost</t>
        </is>
      </c>
    </row>
    <row r="15">
      <c r="A15" t="inlineStr">
        <is>
          <t>REG</t>
        </is>
      </c>
      <c r="B15" t="inlineStr">
        <is>
          <t>Regulatorní soulad a auditovatelnost</t>
        </is>
      </c>
    </row>
    <row r="16">
      <c r="A16" t="inlineStr">
        <is>
          <t>LEG</t>
        </is>
      </c>
      <c r="B16" t="inlineStr">
        <is>
          <t>Právní a smluvní požadavky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46" customWidth="1" min="4" max="4"/>
    <col width="34" customWidth="1" min="5" max="5"/>
    <col width="52" customWidth="1" min="6" max="6"/>
    <col width="24" customWidth="1" min="7" max="7"/>
  </cols>
  <sheetData>
    <row r="1">
      <c r="A1" s="1" t="inlineStr">
        <is>
          <t>Záznam workshopů se stakeholdery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ID</t>
        </is>
      </c>
      <c r="B5" s="14" t="inlineStr">
        <is>
          <t>Datum</t>
        </is>
      </c>
      <c r="C5" s="14" t="inlineStr">
        <is>
          <t>Stakeholder</t>
        </is>
      </c>
      <c r="D5" s="14" t="inlineStr">
        <is>
          <t>Účastníci (role)</t>
        </is>
      </c>
      <c r="E5" s="14" t="inlineStr">
        <is>
          <t>Témata</t>
        </is>
      </c>
      <c r="F5" s="14" t="inlineStr">
        <is>
          <t>Závěry</t>
        </is>
      </c>
      <c r="G5" s="14" t="inlineStr">
        <is>
          <t>Dotčené požadavky</t>
        </is>
      </c>
    </row>
    <row r="6">
      <c r="A6" s="32" t="inlineStr">
        <is>
          <t>WS-01</t>
        </is>
      </c>
      <c r="B6" s="32" t="inlineStr">
        <is>
          <t>2026-09-08</t>
        </is>
      </c>
      <c r="C6" s="32" t="inlineStr">
        <is>
          <t>Compliance</t>
        </is>
      </c>
      <c r="D6" s="32" t="inlineStr">
        <is>
          <t>MLRO, 3× AML analytik, Business analytik</t>
        </is>
      </c>
      <c r="E6" s="32" t="inlineStr">
        <is>
          <t>KYC, screening, správa případů</t>
        </is>
      </c>
      <c r="F6" s="32" t="inlineStr">
        <is>
          <t>Odsouhlaseno 34 požadavků; FP rate jako hlavní bolest.</t>
        </is>
      </c>
      <c r="G6" s="32" t="inlineStr">
        <is>
          <t>KYC-001–015, SCR-*, CAS-*</t>
        </is>
      </c>
    </row>
    <row r="7">
      <c r="A7" s="32" t="inlineStr">
        <is>
          <t>WS-02</t>
        </is>
      </c>
      <c r="B7" s="32" t="inlineStr">
        <is>
          <t>2026-09-10</t>
        </is>
      </c>
      <c r="C7" s="32" t="inlineStr">
        <is>
          <t>Obchod</t>
        </is>
      </c>
      <c r="D7" s="32" t="inlineStr">
        <is>
          <t>Vedoucí privátního bankovnictví, 2× privátní bankéř, vedoucí zákaznické podpory, Business analytik</t>
        </is>
      </c>
      <c r="E7" s="32" t="inlineStr">
        <is>
          <t>Práce v CRM, onboarding, revize</t>
        </is>
      </c>
      <c r="F7" s="32" t="inlineStr">
        <is>
          <t>Požadavek na zobrazení KYC v CRM a předvyplnění formulářů.</t>
        </is>
      </c>
      <c r="G7" s="32" t="inlineStr">
        <is>
          <t>KYC-006–013, CAS-003</t>
        </is>
      </c>
    </row>
    <row r="8">
      <c r="A8" s="32" t="inlineStr">
        <is>
          <t>WS-03</t>
        </is>
      </c>
      <c r="B8" s="32" t="inlineStr">
        <is>
          <t>2026-09-14</t>
        </is>
      </c>
      <c r="C8" s="32" t="inlineStr">
        <is>
          <t>IT</t>
        </is>
      </c>
      <c r="D8" s="32" t="inlineStr">
        <is>
          <t>Enterprise architekt, CRM product owner, integrační specialista, bezpečnostní architekt, Business analytik</t>
        </is>
      </c>
      <c r="E8" s="32" t="inlineStr">
        <is>
          <t>Architektura, integrace, NFR, bezpečnost</t>
        </is>
      </c>
      <c r="F8" s="32" t="inlineStr">
        <is>
          <t>Kafka jako povinný standard; zákaz point-to-point na core.</t>
        </is>
      </c>
      <c r="G8" s="32" t="inlineStr">
        <is>
          <t>INT-*, NFR-*, SEC-*</t>
        </is>
      </c>
    </row>
    <row r="9">
      <c r="A9" s="32" t="inlineStr">
        <is>
          <t>WS-04</t>
        </is>
      </c>
      <c r="B9" s="32" t="inlineStr">
        <is>
          <t>2026-09-16</t>
        </is>
      </c>
      <c r="C9" s="32" t="inlineStr">
        <is>
          <t>Legal</t>
        </is>
      </c>
      <c r="D9" s="32" t="inlineStr">
        <is>
          <t>Právník pro IT smlouvy, DPO, Business analytik</t>
        </is>
      </c>
      <c r="E9" s="32" t="inlineStr">
        <is>
          <t>GDPR, DORA, bankovní tajemství, smluvní požadavky</t>
        </is>
      </c>
      <c r="F9" s="32" t="inlineStr">
        <is>
          <t>Data jen v EU/EHP jako K.O.; vzor DPA Banky.</t>
        </is>
      </c>
      <c r="G9" s="32" t="inlineStr">
        <is>
          <t>LEG-*, REG-001, REG-003–004</t>
        </is>
      </c>
    </row>
    <row r="10">
      <c r="A10" s="32" t="inlineStr">
        <is>
          <t>WS-05</t>
        </is>
      </c>
      <c r="B10" s="32" t="inlineStr">
        <is>
          <t>2026-09-21</t>
        </is>
      </c>
      <c r="C10" s="32" t="inlineStr">
        <is>
          <t>Všichni</t>
        </is>
      </c>
      <c r="D10" s="32" t="inlineStr">
        <is>
          <t>Zástupci IT, Compliance, Legal, Obchodu; procurement</t>
        </is>
      </c>
      <c r="E10" s="32" t="inlineStr">
        <is>
          <t>Konsolidace, MoSCoW, K.O. kritéria</t>
        </is>
      </c>
      <c r="F10" s="32" t="inlineStr">
        <is>
          <t>Vyřešeny 3 konflikty (viz list Konflikty); seznam K.O. finalizován.</t>
        </is>
      </c>
      <c r="G10" s="32" t="inlineStr">
        <is>
          <t>Celá matice</t>
        </is>
      </c>
    </row>
    <row r="11">
      <c r="A11" s="32" t="inlineStr">
        <is>
          <t>WS-06</t>
        </is>
      </c>
      <c r="B11" s="32" t="inlineStr">
        <is>
          <t>2026-09-23</t>
        </is>
      </c>
      <c r="C11" s="32" t="inlineStr">
        <is>
          <t>SteerCo</t>
        </is>
      </c>
      <c r="D11" s="32" t="inlineStr">
        <is>
          <t>Sponzor (člen představenstva), CIO, ředitel Compliance, ředitel PB</t>
        </is>
      </c>
      <c r="E11" s="32" t="inlineStr">
        <is>
          <t>Schválení matice a váhového modelu</t>
        </is>
      </c>
      <c r="F11" s="32" t="inlineStr">
        <is>
          <t>Matice v. 1.0 schválena; váhy 40/30/20/10 schváleny před vyhlášením.</t>
        </is>
      </c>
      <c r="G11" s="32" t="inlineStr">
        <is>
          <t>Celá matice</t>
        </is>
      </c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</sheetData>
  <dataValidations count="1">
    <dataValidation sqref="C6:C60" showDropDown="0" showInputMessage="0" showErrorMessage="0" allowBlank="1" errorTitle="Neplatná hodnota" error="Vyberte hodnotu ze seznamu." type="list">
      <formula1>"IT,Compliance,Legal,Obchod,Všichni,SteerCo"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46" customWidth="1" min="4" max="4"/>
    <col width="52" customWidth="1" min="5" max="5"/>
    <col width="13" customWidth="1" min="6" max="6"/>
  </cols>
  <sheetData>
    <row r="1">
      <c r="A1" s="1" t="inlineStr">
        <is>
          <t>Konflikty požadavků mezi stakeholdery a jejich rozhodnutí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ID</t>
        </is>
      </c>
      <c r="B5" s="14" t="inlineStr">
        <is>
          <t>Požadavek</t>
        </is>
      </c>
      <c r="C5" s="14" t="inlineStr">
        <is>
          <t>Pozice A</t>
        </is>
      </c>
      <c r="D5" s="14" t="inlineStr">
        <is>
          <t>Pozice B</t>
        </is>
      </c>
      <c r="E5" s="14" t="inlineStr">
        <is>
          <t>Rozhodnutí</t>
        </is>
      </c>
      <c r="F5" s="14" t="inlineStr">
        <is>
          <t>Rozhodnuto na</t>
        </is>
      </c>
    </row>
    <row r="6">
      <c r="A6" s="32" t="inlineStr">
        <is>
          <t>K-01</t>
        </is>
      </c>
      <c r="B6" s="32" t="inlineStr">
        <is>
          <t>CAS-004</t>
        </is>
      </c>
      <c r="C6" s="32" t="inlineStr">
        <is>
          <t>Obchod: automatické schválení klientů s nízkým rizikem bez zásahu Compliance.</t>
        </is>
      </c>
      <c r="D6" s="32" t="inlineStr">
        <is>
          <t>Legal/Compliance: negativní rozhodnutí vždy člověk (čl. 22 GDPR), pozitivní automaticky jen u nízkého rizika.</t>
        </is>
      </c>
      <c r="E6" s="32" t="inlineStr">
        <is>
          <t>Kompromis: automatické schválení jen u nízkého rizika bez shody ve screeningu; zamítnutí a blokace vždy člověk.</t>
        </is>
      </c>
      <c r="F6" s="32" t="inlineStr">
        <is>
          <t>WS-05</t>
        </is>
      </c>
    </row>
    <row r="7">
      <c r="A7" s="32" t="inlineStr">
        <is>
          <t>K-02</t>
        </is>
      </c>
      <c r="B7" s="32" t="inlineStr">
        <is>
          <t>KYC-007</t>
        </is>
      </c>
      <c r="C7" s="32" t="inlineStr">
        <is>
          <t>Obchod: BankID jako Must pro získávání mladší generace klientů.</t>
        </is>
      </c>
      <c r="D7" s="32" t="inlineStr">
        <is>
          <t>Compliance/IT: privátní klienti se onboardují osobně, BankID zvyšuje rozsah integrací.</t>
        </is>
      </c>
      <c r="E7" s="32" t="inlineStr">
        <is>
          <t>Priorita Could; dodavatel jej ocení volitelně.</t>
        </is>
      </c>
      <c r="F7" s="32" t="inlineStr">
        <is>
          <t>WS-06</t>
        </is>
      </c>
    </row>
    <row r="8">
      <c r="A8" s="32" t="inlineStr">
        <is>
          <t>K-03</t>
        </is>
      </c>
      <c r="B8" s="32" t="inlineStr">
        <is>
          <t>NFR-006</t>
        </is>
      </c>
      <c r="C8" s="32" t="inlineStr">
        <is>
          <t>IT (část): SaaS řešení v cloudu dodavatele kvůli nižším nákladům.</t>
        </is>
      </c>
      <c r="D8" s="32" t="inlineStr">
        <is>
          <t>Bezpečnost/Legal: kritická funkce, bankovní tajemství, DORA koncentrační riziko.</t>
        </is>
      </c>
      <c r="E8" s="32" t="inlineStr">
        <is>
          <t>Povolen on-premise nebo privátní cloud s daty v EU/EHP; veřejný multi-tenant SaaS mimo zadání.</t>
        </is>
      </c>
      <c r="F8" s="32" t="inlineStr">
        <is>
          <t>WS-05</t>
        </is>
      </c>
    </row>
    <row r="9">
      <c r="A9" s="32" t="n"/>
      <c r="B9" s="32" t="n"/>
      <c r="C9" s="32" t="n"/>
      <c r="D9" s="32" t="n"/>
      <c r="E9" s="32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>
      <c r="A12" s="32" t="n"/>
      <c r="B12" s="32" t="n"/>
      <c r="C12" s="32" t="n"/>
      <c r="D12" s="32" t="n"/>
      <c r="E12" s="32" t="n"/>
      <c r="F12" s="32" t="n"/>
    </row>
    <row r="13">
      <c r="A13" s="32" t="n"/>
      <c r="B13" s="32" t="n"/>
      <c r="C13" s="32" t="n"/>
      <c r="D13" s="32" t="n"/>
      <c r="E13" s="32" t="n"/>
      <c r="F13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20" customWidth="1" min="4" max="4"/>
    <col width="22" customWidth="1" min="5" max="5"/>
    <col width="22" customWidth="1" min="6" max="6"/>
  </cols>
  <sheetData>
    <row r="1">
      <c r="A1" s="1" t="inlineStr">
        <is>
          <t>Změnový log matice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14" t="inlineStr">
        <is>
          <t>Verze</t>
        </is>
      </c>
      <c r="B5" s="14" t="inlineStr">
        <is>
          <t>Datum</t>
        </is>
      </c>
      <c r="C5" s="14" t="inlineStr">
        <is>
          <t>Změna</t>
        </is>
      </c>
      <c r="D5" s="14" t="inlineStr">
        <is>
          <t>Dotčené ID</t>
        </is>
      </c>
      <c r="E5" s="14" t="inlineStr">
        <is>
          <t>Autor</t>
        </is>
      </c>
      <c r="F5" s="14" t="inlineStr">
        <is>
          <t>Schválil</t>
        </is>
      </c>
    </row>
    <row r="6">
      <c r="A6" s="32" t="inlineStr">
        <is>
          <t>0.1</t>
        </is>
      </c>
      <c r="B6" s="32" t="inlineStr">
        <is>
          <t>2026-09-04</t>
        </is>
      </c>
      <c r="C6" s="32" t="inlineStr">
        <is>
          <t>Návrh požadavků z analýzy výchozího stavu</t>
        </is>
      </c>
      <c r="D6" s="32" t="inlineStr">
        <is>
          <t>—</t>
        </is>
      </c>
      <c r="E6" s="32" t="inlineStr">
        <is>
          <t>Business analytik</t>
        </is>
      </c>
      <c r="F6" s="32" t="inlineStr">
        <is>
          <t>—</t>
        </is>
      </c>
    </row>
    <row r="7">
      <c r="A7" s="32" t="inlineStr">
        <is>
          <t>0.5</t>
        </is>
      </c>
      <c r="B7" s="32" t="inlineStr">
        <is>
          <t>2026-09-17</t>
        </is>
      </c>
      <c r="C7" s="32" t="inlineStr">
        <is>
          <t>Doplněno po workshopech WS-01 až WS-04</t>
        </is>
      </c>
      <c r="D7" s="32" t="inlineStr">
        <is>
          <t>—</t>
        </is>
      </c>
      <c r="E7" s="32" t="inlineStr">
        <is>
          <t>Business analytik</t>
        </is>
      </c>
      <c r="F7" s="32" t="inlineStr">
        <is>
          <t>—</t>
        </is>
      </c>
    </row>
    <row r="8">
      <c r="A8" s="32" t="inlineStr">
        <is>
          <t>0.9</t>
        </is>
      </c>
      <c r="B8" s="32" t="inlineStr">
        <is>
          <t>2026-09-21</t>
        </is>
      </c>
      <c r="C8" s="32" t="inlineStr">
        <is>
          <t>Konsolidace, MoSCoW, K.O. kritéria; konflikty K-01 až K-03</t>
        </is>
      </c>
      <c r="D8" s="32" t="inlineStr">
        <is>
          <t>CAS-004, KYC-007, NFR-006</t>
        </is>
      </c>
      <c r="E8" s="32" t="inlineStr">
        <is>
          <t>Business analytik</t>
        </is>
      </c>
      <c r="F8" s="32" t="inlineStr">
        <is>
          <t>Konsolidační workshop</t>
        </is>
      </c>
    </row>
    <row r="9">
      <c r="A9" s="32" t="inlineStr">
        <is>
          <t>1.0</t>
        </is>
      </c>
      <c r="B9" s="32" t="inlineStr">
        <is>
          <t>2026-09-23</t>
        </is>
      </c>
      <c r="C9" s="32" t="inlineStr">
        <is>
          <t>Schválení matice a váhového modelu</t>
        </is>
      </c>
      <c r="D9" s="32" t="inlineStr">
        <is>
          <t>—</t>
        </is>
      </c>
      <c r="E9" s="32" t="inlineStr">
        <is>
          <t>Business analytik</t>
        </is>
      </c>
      <c r="F9" s="32" t="inlineStr">
        <is>
          <t>SteerCo</t>
        </is>
      </c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>
      <c r="A12" s="32" t="n"/>
      <c r="B12" s="32" t="n"/>
      <c r="C12" s="32" t="n"/>
      <c r="D12" s="32" t="n"/>
      <c r="E12" s="32" t="n"/>
      <c r="F12" s="32" t="n"/>
    </row>
    <row r="13">
      <c r="A13" s="32" t="n"/>
      <c r="B13" s="32" t="n"/>
      <c r="C13" s="32" t="n"/>
      <c r="D13" s="32" t="n"/>
      <c r="E13" s="32" t="n"/>
      <c r="F13" s="32" t="n"/>
    </row>
    <row r="14">
      <c r="A14" s="32" t="n"/>
      <c r="B14" s="32" t="n"/>
      <c r="C14" s="32" t="n"/>
      <c r="D14" s="32" t="n"/>
      <c r="E14" s="32" t="n"/>
      <c r="F14" s="32" t="n"/>
    </row>
    <row r="15">
      <c r="A15" s="32" t="n"/>
      <c r="B15" s="32" t="n"/>
      <c r="C15" s="32" t="n"/>
      <c r="D15" s="32" t="n"/>
      <c r="E15" s="32" t="n"/>
      <c r="F15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2026-10-06T09:49:34Z</dcterms:created>
  <dcterms:modified xmlns:dcterms="http://purl.org/dc/terms/" xmlns:xsi="http://www.w3.org/2001/XMLSchema-instance" xsi:type="dcterms:W3CDTF">2026-10-06T09:49:34Z</dcterms:modified>
</cp:coreProperties>
</file>