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Požadavky" sheetId="2" state="visible" r:id="rId2"/>
    <sheet xmlns:r="http://schemas.openxmlformats.org/officeDocument/2006/relationships" name="Souhrn" sheetId="3" state="visible" r:id="rId3"/>
    <sheet xmlns:r="http://schemas.openxmlformats.org/officeDocument/2006/relationships" name="Číselníky" sheetId="4" state="visible" r:id="rId4"/>
    <sheet xmlns:r="http://schemas.openxmlformats.org/officeDocument/2006/relationships" name="Workshopy" sheetId="5" state="visible" r:id="rId5"/>
    <sheet xmlns:r="http://schemas.openxmlformats.org/officeDocument/2006/relationships" name="Konflikty" sheetId="6" state="visible" r:id="rId6"/>
    <sheet xmlns:r="http://schemas.openxmlformats.org/officeDocument/2006/relationships" name="Změnový log" sheetId="7" state="visible" r:id="rId7"/>
  </sheets>
  <definedNames>
    <definedName name="_xlnm._FilterDatabase" localSheetId="1" hidden="1">'Požadavky'!$A$5:$X$158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i val="1"/>
      <color rgb="007F7F7F"/>
      <sz val="9"/>
    </font>
    <font>
      <b val="1"/>
      <color rgb="001F3864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2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0" fillId="0" borderId="1" applyAlignment="1" applyProtection="1" pivotButton="0" quotePrefix="0" xfId="0">
      <alignment horizontal="center" vertical="top" wrapText="1"/>
      <protection locked="0" hidden="0"/>
    </xf>
    <xf numFmtId="0" fontId="0" fillId="0" borderId="1" applyAlignment="1" applyProtection="1" pivotButton="0" quotePrefix="0" xfId="0">
      <alignment vertical="top" wrapText="1"/>
      <protection locked="0" hidden="0"/>
    </xf>
    <xf numFmtId="0" fontId="6" fillId="7" borderId="1" applyAlignment="1" applyProtection="1" pivotButton="0" quotePrefix="0" xfId="0">
      <alignment horizontal="center" vertical="top" wrapText="1"/>
      <protection locked="0" hidden="0"/>
    </xf>
    <xf numFmtId="0" fontId="0" fillId="3" borderId="1" applyAlignment="1" applyProtection="1" pivotButton="0" quotePrefix="0" xfId="0">
      <alignment horizontal="center" vertical="top" wrapText="1"/>
      <protection locked="0" hidden="0"/>
    </xf>
    <xf numFmtId="0" fontId="0" fillId="3" borderId="1" applyAlignment="1" applyProtection="1" pivotButton="0" quotePrefix="0" xfId="0">
      <alignment vertical="top" wrapText="1"/>
      <protection locked="0" hidden="0"/>
    </xf>
    <xf numFmtId="0" fontId="0" fillId="5" borderId="1" applyAlignment="1" pivotButton="0" quotePrefix="0" xfId="0">
      <alignment horizontal="center" vertical="top" wrapText="1"/>
    </xf>
    <xf numFmtId="0" fontId="0" fillId="4" borderId="1" applyAlignment="1" applyProtection="1" pivotButton="0" quotePrefix="0" xfId="0">
      <alignment horizontal="center" vertical="top" wrapText="1"/>
      <protection locked="0" hidden="0"/>
    </xf>
    <xf numFmtId="0" fontId="0" fillId="4" borderId="1" applyAlignment="1" applyProtection="1" pivotButton="0" quotePrefix="0" xfId="0">
      <alignment vertical="top" wrapText="1"/>
      <protection locked="0" hidden="0"/>
    </xf>
    <xf numFmtId="0" fontId="0" fillId="0" borderId="1" pivotButton="0" quotePrefix="0" xfId="0"/>
    <xf numFmtId="0" fontId="6" fillId="0" borderId="1" pivotButton="0" quotePrefix="0" xfId="0"/>
    <xf numFmtId="164" fontId="6" fillId="5" borderId="0" pivotButton="0" quotePrefix="0" xfId="0"/>
    <xf numFmtId="2" fontId="6" fillId="5" borderId="0" pivotButton="0" quotePrefix="0" xfId="0"/>
    <xf numFmtId="1" fontId="6" fillId="5" borderId="0" pivotButton="0" quotePrefix="0" xfId="0"/>
    <xf numFmtId="49" fontId="6" fillId="5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Matice shody – ŠABLONA pro sběr požadavků (IT, Compliance, Legal, Obchod)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B5" s="4" t="inlineStr">
        <is>
          <t>Účel</t>
        </is>
      </c>
    </row>
    <row r="6">
      <c r="B6" s="5" t="inlineStr">
        <is>
          <t>Matice shody je jediný zdroj požadavků výběrového řízení. Každý požadavek má unikátní ID, vlastníka, prioritu MoSCoW, zdroj (legislativa / standard Banky) a akceptační kritérium. Dodavatel ke každému požadavku vybírá normovanou odpověď, takže odpovědi lze kvantitativně porovnat.</t>
        </is>
      </c>
    </row>
    <row r="7">
      <c r="B7" s="4" t="inlineStr">
        <is>
          <t>Jak sbírat požadavky se stakeholdery</t>
        </is>
      </c>
    </row>
    <row r="8">
      <c r="B8" s="5" t="inlineStr">
        <is>
          <t>1) Business analytik připraví návrh požadavků z analýzy výchozího stavu (procesy onboardingu, screeningu, rozhodování v CRM).</t>
        </is>
      </c>
    </row>
    <row r="9">
      <c r="B9" s="5" t="inlineStr">
        <is>
          <t>2) Samostatné workshopy po stakeholderech: IT, Compliance, Legal, Obchod. Každý workshop zapsat do listu Workshopy.</t>
        </is>
      </c>
    </row>
    <row r="10">
      <c r="B10" s="5" t="inlineStr">
        <is>
          <t>3) Každý požadavek má jednoho vlastníka, který ho obhájí a schválí jeho akceptační kritérium.</t>
        </is>
      </c>
    </row>
    <row r="11">
      <c r="B11" s="5" t="inlineStr">
        <is>
          <t>4) Konflikty mezi stakeholdery (např. Obchod vs. Compliance) zapsat do listu Konflikty a rozhodnout na konsolidačním workshopu / SteerCo.</t>
        </is>
      </c>
    </row>
    <row r="12">
      <c r="B12" s="5" t="inlineStr">
        <is>
          <t>5) Před vyhlášením tendru musí mít všechny požadavky stav Schváleno nebo Schváleno s úpravou; K.O. kritéria a váhy schvaluje SteerCo.</t>
        </is>
      </c>
    </row>
    <row r="13">
      <c r="B13" s="5" t="inlineStr">
        <is>
          <t>6) Pro dodavatele se z matice odstraní interní sloupce (vlastník, stav, poznámka, hodnoticí sloupce) – viz Příloha 1 RFP.</t>
        </is>
      </c>
    </row>
    <row r="14">
      <c r="B14" s="4" t="inlineStr">
        <is>
          <t>Pravidla psaní požadavků</t>
        </is>
      </c>
    </row>
    <row r="15">
      <c r="B15" s="5" t="inlineStr">
        <is>
          <t>• Jeden požadavek = jedna ověřitelná vlastnost. Žádné „systém bude uživatelsky přívětivý“.</t>
        </is>
      </c>
    </row>
    <row r="16">
      <c r="B16" s="5" t="inlineStr">
        <is>
          <t>• Akceptační kritérium říká, jak splnění ověříme (demo, test v SIT, doklad).</t>
        </is>
      </c>
    </row>
    <row r="17">
      <c r="B17" s="5" t="inlineStr">
        <is>
          <t>• ID má tvar OBLAST-NNN (KYC, SCR, TM, CAS, REP, INT, MIG, NFR, SEC, REG, LEG); ID se po vyhlášení nemění, zrušený požadavek dostane stav Zamítnuto.</t>
        </is>
      </c>
    </row>
    <row r="18">
      <c r="B18" s="5" t="inlineStr">
        <is>
          <t>• K.O. = Pass/Fail, nebodují se. Must = 3, Should = 2, Could = 1, Won't = 0 (váha v bodování).</t>
        </is>
      </c>
    </row>
    <row r="19">
      <c r="B19" s="4" t="inlineStr">
        <is>
          <t>Normované odpovědi dodavatele a body</t>
        </is>
      </c>
    </row>
    <row r="20">
      <c r="B20" s="5" t="inlineStr">
        <is>
          <t>OOTB = 5 b. (funkce je v základu, stačí zapnout) · Konfigurace = 3 b. (nastavení v UI bez programování) · Custom vývoj = 1 b. (nutný vývoj, zvyšuje technický dluh a TCO) · 3rd party = 0 b. · Nesplněno = 0 b.</t>
        </is>
      </c>
    </row>
    <row r="21">
      <c r="B21" s="5" t="inlineStr">
        <is>
          <t>Smluvní podmínky (LEG, REG-001): Akceptuje / Akceptuje s výhradou / Neakceptuje.</t>
        </is>
      </c>
    </row>
    <row r="22">
      <c r="B22" s="4" t="inlineStr">
        <is>
          <t>Pravidlo křížové kontroly</t>
        </is>
      </c>
    </row>
    <row r="23">
      <c r="B23" s="5" t="inlineStr">
        <is>
          <t>U odpovědí OOTB, Konfigurace a Custom vývoj musí dodavatel uvést kapitolu Feasibility Study, kde je řešení popsáno. Pokud odkaz chybí, nebo komise při kontrole FS / skriptovaném demu tvrzení neověří (sloupec Ověřeno = Ne), požadavek se považuje za nesplněný (0 bodů; u K.O. = FAIL). Každé snížení bodů komise zdůvodní jednou větou.</t>
        </is>
      </c>
    </row>
    <row r="24">
      <c r="B24" s="4" t="inlineStr">
        <is>
          <t>Barvy</t>
        </is>
      </c>
    </row>
    <row r="26">
      <c r="A26" s="6" t="n"/>
      <c r="B26" t="inlineStr">
        <is>
          <t>Vyplňuje Banka (stakeholdeři / projektový tým)</t>
        </is>
      </c>
    </row>
    <row r="27">
      <c r="A27" s="7" t="n"/>
      <c r="B27" t="inlineStr">
        <is>
          <t>Vyplňuje dodavatel</t>
        </is>
      </c>
    </row>
    <row r="28">
      <c r="A28" s="8" t="n"/>
      <c r="B28" t="inlineStr">
        <is>
          <t>Vyplňuje hodnoticí komise</t>
        </is>
      </c>
    </row>
    <row r="29">
      <c r="A29" s="9" t="n"/>
      <c r="B29" t="inlineStr">
        <is>
          <t>Vypočteno vzorcem – needitovat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60" customWidth="1" min="3" max="3"/>
    <col width="30" customWidth="1" min="4" max="4"/>
    <col width="13" customWidth="1" min="5" max="5"/>
    <col width="10" customWidth="1" min="6" max="6"/>
    <col width="9" customWidth="1" min="7" max="7"/>
    <col width="40" customWidth="1" min="8" max="8"/>
    <col width="10" customWidth="1" min="9" max="9"/>
    <col width="16" customWidth="1" min="10" max="10"/>
    <col width="13" customWidth="1" min="11" max="11"/>
    <col width="32" customWidth="1" min="12" max="12"/>
    <col width="15" customWidth="1" min="13" max="13"/>
    <col width="40" customWidth="1" min="14" max="14"/>
    <col width="13" customWidth="1" min="15" max="15"/>
    <col width="14" customWidth="1" min="16" max="16"/>
    <col width="8" customWidth="1" min="17" max="17"/>
    <col width="9" customWidth="1" min="18" max="18"/>
    <col width="11" customWidth="1" min="19" max="19"/>
    <col width="9" customWidth="1" min="20" max="20"/>
    <col width="12" customWidth="1" min="21" max="21"/>
    <col width="9" customWidth="1" min="22" max="22"/>
    <col width="9" customWidth="1" min="23" max="23"/>
    <col width="36" customWidth="1" min="24" max="24"/>
  </cols>
  <sheetData>
    <row r="1">
      <c r="A1" s="1" t="inlineStr">
        <is>
          <t>Matice shody – požadavky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4">
      <c r="A4" s="10" t="inlineStr">
        <is>
          <t>BANKA</t>
        </is>
      </c>
      <c r="B4" s="10" t="inlineStr">
        <is>
          <t>BANKA</t>
        </is>
      </c>
      <c r="C4" s="10" t="inlineStr">
        <is>
          <t>BANKA</t>
        </is>
      </c>
      <c r="D4" s="10" t="inlineStr">
        <is>
          <t>BANKA</t>
        </is>
      </c>
      <c r="E4" s="10" t="inlineStr">
        <is>
          <t>BANKA</t>
        </is>
      </c>
      <c r="F4" s="10" t="inlineStr">
        <is>
          <t>BANKA</t>
        </is>
      </c>
      <c r="G4" s="10" t="inlineStr">
        <is>
          <t>BANKA</t>
        </is>
      </c>
      <c r="H4" s="10" t="inlineStr">
        <is>
          <t>BANKA</t>
        </is>
      </c>
      <c r="I4" s="10" t="inlineStr">
        <is>
          <t>BANKA</t>
        </is>
      </c>
      <c r="J4" s="10" t="inlineStr">
        <is>
          <t>BANKA</t>
        </is>
      </c>
      <c r="K4" s="10" t="inlineStr">
        <is>
          <t>BANKA</t>
        </is>
      </c>
      <c r="L4" s="10" t="inlineStr">
        <is>
          <t>BANKA</t>
        </is>
      </c>
      <c r="M4" s="11" t="inlineStr">
        <is>
          <t>DODAVATEL</t>
        </is>
      </c>
      <c r="N4" s="11" t="inlineStr">
        <is>
          <t>DODAVATEL</t>
        </is>
      </c>
      <c r="O4" s="11" t="inlineStr">
        <is>
          <t>DODAVATEL</t>
        </is>
      </c>
      <c r="P4" s="12" t="inlineStr">
        <is>
          <t>VÝPOČET</t>
        </is>
      </c>
      <c r="Q4" s="12" t="inlineStr">
        <is>
          <t>VÝPOČET</t>
        </is>
      </c>
      <c r="R4" s="12" t="inlineStr">
        <is>
          <t>VÝPOČET</t>
        </is>
      </c>
      <c r="S4" s="13" t="inlineStr">
        <is>
          <t>KOMISE</t>
        </is>
      </c>
      <c r="T4" s="12" t="inlineStr">
        <is>
          <t>VÝPOČET</t>
        </is>
      </c>
      <c r="U4" s="12" t="inlineStr">
        <is>
          <t>VÝPOČET</t>
        </is>
      </c>
      <c r="V4" s="12" t="inlineStr">
        <is>
          <t>VÝPOČET</t>
        </is>
      </c>
      <c r="W4" s="12" t="inlineStr">
        <is>
          <t>VÝPOČET</t>
        </is>
      </c>
      <c r="X4" s="13" t="inlineStr">
        <is>
          <t>KOMISE</t>
        </is>
      </c>
    </row>
    <row r="5" ht="48" customHeight="1">
      <c r="A5" s="14" t="inlineStr">
        <is>
          <t>ID požadavku</t>
        </is>
      </c>
      <c r="B5" s="14" t="inlineStr">
        <is>
          <t>Oblast</t>
        </is>
      </c>
      <c r="C5" s="14" t="inlineStr">
        <is>
          <t>Text požadavku</t>
        </is>
      </c>
      <c r="D5" s="14" t="inlineStr">
        <is>
          <t>Zdroj / zdůvodnění (legislativa, standard)</t>
        </is>
      </c>
      <c r="E5" s="14" t="inlineStr">
        <is>
          <t>Vlastník požadavku (stakeholder)</t>
        </is>
      </c>
      <c r="F5" s="14" t="inlineStr">
        <is>
          <t>Priorita (MoSCoW)</t>
        </is>
      </c>
      <c r="G5" s="14" t="inlineStr">
        <is>
          <t>K.O. kritérium</t>
        </is>
      </c>
      <c r="H5" s="14" t="inlineStr">
        <is>
          <t>Akceptační kritérium (jak ověříme)</t>
        </is>
      </c>
      <c r="I5" s="14" t="inlineStr">
        <is>
          <t>Očekávaná kapitola FS</t>
        </is>
      </c>
      <c r="J5" s="14" t="inlineStr">
        <is>
          <t>Hodnoceno v</t>
        </is>
      </c>
      <c r="K5" s="14" t="inlineStr">
        <is>
          <t>Stav projednání</t>
        </is>
      </c>
      <c r="L5" s="14" t="inlineStr">
        <is>
          <t>Poznámka z workshopu</t>
        </is>
      </c>
      <c r="M5" s="15" t="inlineStr">
        <is>
          <t>Odpověď dodavatele</t>
        </is>
      </c>
      <c r="N5" s="15" t="inlineStr">
        <is>
          <t>Komentář dodavatele (jak je splněno, verze produktu, omezení)</t>
        </is>
      </c>
      <c r="O5" s="15" t="inlineStr">
        <is>
          <t>Odkaz do Feasibility Study (kapitola)</t>
        </is>
      </c>
      <c r="P5" s="16" t="inlineStr">
        <is>
          <t>Křížová kontrola FS</t>
        </is>
      </c>
      <c r="Q5" s="16" t="inlineStr">
        <is>
          <t>Váha MoSCoW</t>
        </is>
      </c>
      <c r="R5" s="16" t="inlineStr">
        <is>
          <t>Body dle odpovědi (0–5)</t>
        </is>
      </c>
      <c r="S5" s="17" t="inlineStr">
        <is>
          <t>Ověřeno komisí (FS / demo)</t>
        </is>
      </c>
      <c r="T5" s="16" t="inlineStr">
        <is>
          <t>Uznané body</t>
        </is>
      </c>
      <c r="U5" s="16" t="inlineStr">
        <is>
          <t>Výsledek K.O.</t>
        </is>
      </c>
      <c r="V5" s="16" t="inlineStr">
        <is>
          <t>Vážené body</t>
        </is>
      </c>
      <c r="W5" s="16" t="inlineStr">
        <is>
          <t>Max. vážené body</t>
        </is>
      </c>
      <c r="X5" s="17" t="inlineStr">
        <is>
          <t>Komentář komise (povinný při snížení bodů)</t>
        </is>
      </c>
    </row>
    <row r="6">
      <c r="A6" s="18" t="inlineStr">
        <is>
          <t>SEC-001</t>
        </is>
      </c>
      <c r="B6" s="18" t="inlineStr">
        <is>
          <t>SEC</t>
        </is>
      </c>
      <c r="C6" s="19" t="inlineStr">
        <is>
          <t>Systém podporuje SAML 2.0 / OIDC pro SSO.</t>
        </is>
      </c>
      <c r="D6" s="19" t="inlineStr">
        <is>
          <t>Bezpečnostní politika</t>
        </is>
      </c>
      <c r="E6" s="18" t="inlineStr">
        <is>
          <t>IT</t>
        </is>
      </c>
      <c r="F6" s="18" t="inlineStr">
        <is>
          <t>Must</t>
        </is>
      </c>
      <c r="G6" s="20" t="inlineStr">
        <is>
          <t>Ano</t>
        </is>
      </c>
      <c r="H6" s="19" t="inlineStr">
        <is>
          <t>Přihlášení přes IAM ověřeno v SIT.</t>
        </is>
      </c>
      <c r="I6" s="18" t="inlineStr">
        <is>
          <t>4.2</t>
        </is>
      </c>
      <c r="J6" s="18" t="inlineStr">
        <is>
          <t>K.O. (Pass/Fail)</t>
        </is>
      </c>
      <c r="K6" s="18" t="inlineStr">
        <is>
          <t>Návrh</t>
        </is>
      </c>
      <c r="L6" s="19" t="inlineStr">
        <is>
          <t>Příklad – přepište</t>
        </is>
      </c>
      <c r="M6" s="21" t="n"/>
      <c r="N6" s="22" t="n"/>
      <c r="O6" s="21" t="n"/>
      <c r="P6" s="23">
        <f>IF(M6="","",IF(OR(M6="OOTB",M6="Konfigurace",M6="Custom vývoj"),IF(O6="","CHYBÍ odkaz FS","OK"),"N/A"))</f>
        <v/>
      </c>
      <c r="Q6" s="23">
        <f>IF(F6="Must",3,IF(F6="Should",2,IF(F6="Could",1,0)))</f>
        <v/>
      </c>
      <c r="R6" s="23">
        <f>IF(M6="","",IF(M6="OOTB",5,IF(M6="Konfigurace",3,IF(M6="Custom vývoj",1,IF(OR(M6="3rd party",M6="Nesplněno"),0,"")))))</f>
        <v/>
      </c>
      <c r="S6" s="24" t="n"/>
      <c r="T6" s="23">
        <f>IF(R6="","",IF(OR(P6="CHYBÍ odkaz FS",S6="Ne"),0,R6))</f>
        <v/>
      </c>
      <c r="U6" s="23">
        <f>IF(G6&lt;&gt;"Ano","",IF(M6="","",IF(OR(M6="Nesplněno",M6="3rd party",M6="Neakceptuje",S6="Ne",P6="CHYBÍ odkaz FS"),"FAIL",IF(M6="Akceptuje s výhradou","K VYJASNĚNÍ","PASS"))))</f>
        <v/>
      </c>
      <c r="V6" s="23">
        <f>IF(AND(J6="Byznys (30 %)",G6&lt;&gt;"Ano",ISNUMBER(T6)),T6*Q6,0)</f>
        <v/>
      </c>
      <c r="W6" s="23">
        <f>IF(AND(J6="Byznys (30 %)",G6&lt;&gt;"Ano",F6&lt;&gt;"Won't"),5*Q6,0)</f>
        <v/>
      </c>
      <c r="X6" s="25" t="n"/>
    </row>
    <row r="7">
      <c r="A7" s="18" t="inlineStr">
        <is>
          <t>INT-002</t>
        </is>
      </c>
      <c r="B7" s="18" t="inlineStr">
        <is>
          <t>INT</t>
        </is>
      </c>
      <c r="C7" s="19" t="inlineStr">
        <is>
          <t>Systém se umí napojit na core banking přes Kafka.</t>
        </is>
      </c>
      <c r="D7" s="19" t="inlineStr">
        <is>
          <t>Architektonický standard</t>
        </is>
      </c>
      <c r="E7" s="18" t="inlineStr">
        <is>
          <t>IT</t>
        </is>
      </c>
      <c r="F7" s="18" t="inlineStr">
        <is>
          <t>Must</t>
        </is>
      </c>
      <c r="G7" s="18" t="inlineStr">
        <is>
          <t>Ne</t>
        </is>
      </c>
      <c r="H7" s="19" t="inlineStr">
        <is>
          <t>Konzumace topiců bez ztráty zpráv.</t>
        </is>
      </c>
      <c r="I7" s="18" t="inlineStr">
        <is>
          <t>5.2</t>
        </is>
      </c>
      <c r="J7" s="18" t="inlineStr">
        <is>
          <t>Podklad pro FS (20 %)</t>
        </is>
      </c>
      <c r="K7" s="18" t="inlineStr">
        <is>
          <t>Návrh</t>
        </is>
      </c>
      <c r="L7" s="19" t="inlineStr">
        <is>
          <t>Příklad – přepište</t>
        </is>
      </c>
      <c r="M7" s="21" t="n"/>
      <c r="N7" s="22" t="n"/>
      <c r="O7" s="21" t="n"/>
      <c r="P7" s="23">
        <f>IF(M7="","",IF(OR(M7="OOTB",M7="Konfigurace",M7="Custom vývoj"),IF(O7="","CHYBÍ odkaz FS","OK"),"N/A"))</f>
        <v/>
      </c>
      <c r="Q7" s="23">
        <f>IF(F7="Must",3,IF(F7="Should",2,IF(F7="Could",1,0)))</f>
        <v/>
      </c>
      <c r="R7" s="23">
        <f>IF(M7="","",IF(M7="OOTB",5,IF(M7="Konfigurace",3,IF(M7="Custom vývoj",1,IF(OR(M7="3rd party",M7="Nesplněno"),0,"")))))</f>
        <v/>
      </c>
      <c r="S7" s="24" t="n"/>
      <c r="T7" s="23">
        <f>IF(R7="","",IF(OR(P7="CHYBÍ odkaz FS",S7="Ne"),0,R7))</f>
        <v/>
      </c>
      <c r="U7" s="23">
        <f>IF(G7&lt;&gt;"Ano","",IF(M7="","",IF(OR(M7="Nesplněno",M7="3rd party",M7="Neakceptuje",S7="Ne",P7="CHYBÍ odkaz FS"),"FAIL",IF(M7="Akceptuje s výhradou","K VYJASNĚNÍ","PASS"))))</f>
        <v/>
      </c>
      <c r="V7" s="23">
        <f>IF(AND(J7="Byznys (30 %)",G7&lt;&gt;"Ano",ISNUMBER(T7)),T7*Q7,0)</f>
        <v/>
      </c>
      <c r="W7" s="23">
        <f>IF(AND(J7="Byznys (30 %)",G7&lt;&gt;"Ano",F7&lt;&gt;"Won't"),5*Q7,0)</f>
        <v/>
      </c>
      <c r="X7" s="25" t="n"/>
    </row>
    <row r="8">
      <c r="A8" s="18" t="inlineStr">
        <is>
          <t>FUN-045</t>
        </is>
      </c>
      <c r="B8" s="18" t="inlineStr">
        <is>
          <t>REP</t>
        </is>
      </c>
      <c r="C8" s="19" t="inlineStr">
        <is>
          <t>Generování PDF reportu s vodoznakem.</t>
        </is>
      </c>
      <c r="D8" s="19" t="inlineStr">
        <is>
          <t>Požadavek Compliance</t>
        </is>
      </c>
      <c r="E8" s="18" t="inlineStr">
        <is>
          <t>Compliance</t>
        </is>
      </c>
      <c r="F8" s="18" t="inlineStr">
        <is>
          <t>Should</t>
        </is>
      </c>
      <c r="G8" s="18" t="inlineStr">
        <is>
          <t>Ne</t>
        </is>
      </c>
      <c r="H8" s="19" t="inlineStr">
        <is>
          <t>Report obsahuje vodoznak s uživatelem a časem.</t>
        </is>
      </c>
      <c r="I8" s="18" t="inlineStr">
        <is>
          <t>6.5</t>
        </is>
      </c>
      <c r="J8" s="18" t="inlineStr">
        <is>
          <t>Byznys (30 %)</t>
        </is>
      </c>
      <c r="K8" s="18" t="inlineStr">
        <is>
          <t>Návrh</t>
        </is>
      </c>
      <c r="L8" s="19" t="inlineStr">
        <is>
          <t>Příklad – přepište</t>
        </is>
      </c>
      <c r="M8" s="21" t="n"/>
      <c r="N8" s="22" t="n"/>
      <c r="O8" s="21" t="n"/>
      <c r="P8" s="23">
        <f>IF(M8="","",IF(OR(M8="OOTB",M8="Konfigurace",M8="Custom vývoj"),IF(O8="","CHYBÍ odkaz FS","OK"),"N/A"))</f>
        <v/>
      </c>
      <c r="Q8" s="23">
        <f>IF(F8="Must",3,IF(F8="Should",2,IF(F8="Could",1,0)))</f>
        <v/>
      </c>
      <c r="R8" s="23">
        <f>IF(M8="","",IF(M8="OOTB",5,IF(M8="Konfigurace",3,IF(M8="Custom vývoj",1,IF(OR(M8="3rd party",M8="Nesplněno"),0,"")))))</f>
        <v/>
      </c>
      <c r="S8" s="24" t="n"/>
      <c r="T8" s="23">
        <f>IF(R8="","",IF(OR(P8="CHYBÍ odkaz FS",S8="Ne"),0,R8))</f>
        <v/>
      </c>
      <c r="U8" s="23">
        <f>IF(G8&lt;&gt;"Ano","",IF(M8="","",IF(OR(M8="Nesplněno",M8="3rd party",M8="Neakceptuje",S8="Ne",P8="CHYBÍ odkaz FS"),"FAIL",IF(M8="Akceptuje s výhradou","K VYJASNĚNÍ","PASS"))))</f>
        <v/>
      </c>
      <c r="V8" s="23">
        <f>IF(AND(J8="Byznys (30 %)",G8&lt;&gt;"Ano",ISNUMBER(T8)),T8*Q8,0)</f>
        <v/>
      </c>
      <c r="W8" s="23">
        <f>IF(AND(J8="Byznys (30 %)",G8&lt;&gt;"Ano",F8&lt;&gt;"Won't"),5*Q8,0)</f>
        <v/>
      </c>
      <c r="X8" s="25" t="n"/>
    </row>
    <row r="9">
      <c r="A9" s="18" t="n"/>
      <c r="B9" s="18" t="n"/>
      <c r="C9" s="19" t="n"/>
      <c r="D9" s="19" t="n"/>
      <c r="E9" s="18" t="n"/>
      <c r="F9" s="18" t="n"/>
      <c r="G9" s="18" t="n"/>
      <c r="H9" s="19" t="n"/>
      <c r="I9" s="18" t="n"/>
      <c r="J9" s="18" t="n"/>
      <c r="K9" s="18" t="n"/>
      <c r="L9" s="19" t="n"/>
      <c r="M9" s="21" t="n"/>
      <c r="N9" s="22" t="n"/>
      <c r="O9" s="21" t="n"/>
      <c r="P9" s="23">
        <f>IF(M9="","",IF(OR(M9="OOTB",M9="Konfigurace",M9="Custom vývoj"),IF(O9="","CHYBÍ odkaz FS","OK"),"N/A"))</f>
        <v/>
      </c>
      <c r="Q9" s="23">
        <f>IF(F9="Must",3,IF(F9="Should",2,IF(F9="Could",1,0)))</f>
        <v/>
      </c>
      <c r="R9" s="23">
        <f>IF(M9="","",IF(M9="OOTB",5,IF(M9="Konfigurace",3,IF(M9="Custom vývoj",1,IF(OR(M9="3rd party",M9="Nesplněno"),0,"")))))</f>
        <v/>
      </c>
      <c r="S9" s="24" t="n"/>
      <c r="T9" s="23">
        <f>IF(R9="","",IF(OR(P9="CHYBÍ odkaz FS",S9="Ne"),0,R9))</f>
        <v/>
      </c>
      <c r="U9" s="23">
        <f>IF(G9&lt;&gt;"Ano","",IF(M9="","",IF(OR(M9="Nesplněno",M9="3rd party",M9="Neakceptuje",S9="Ne",P9="CHYBÍ odkaz FS"),"FAIL",IF(M9="Akceptuje s výhradou","K VYJASNĚNÍ","PASS"))))</f>
        <v/>
      </c>
      <c r="V9" s="23">
        <f>IF(AND(J9="Byznys (30 %)",G9&lt;&gt;"Ano",ISNUMBER(T9)),T9*Q9,0)</f>
        <v/>
      </c>
      <c r="W9" s="23">
        <f>IF(AND(J9="Byznys (30 %)",G9&lt;&gt;"Ano",F9&lt;&gt;"Won't"),5*Q9,0)</f>
        <v/>
      </c>
      <c r="X9" s="25" t="n"/>
    </row>
    <row r="10">
      <c r="A10" s="18" t="n"/>
      <c r="B10" s="18" t="n"/>
      <c r="C10" s="19" t="n"/>
      <c r="D10" s="19" t="n"/>
      <c r="E10" s="18" t="n"/>
      <c r="F10" s="18" t="n"/>
      <c r="G10" s="18" t="n"/>
      <c r="H10" s="19" t="n"/>
      <c r="I10" s="18" t="n"/>
      <c r="J10" s="18" t="n"/>
      <c r="K10" s="18" t="n"/>
      <c r="L10" s="19" t="n"/>
      <c r="M10" s="21" t="n"/>
      <c r="N10" s="22" t="n"/>
      <c r="O10" s="21" t="n"/>
      <c r="P10" s="23">
        <f>IF(M10="","",IF(OR(M10="OOTB",M10="Konfigurace",M10="Custom vývoj"),IF(O10="","CHYBÍ odkaz FS","OK"),"N/A"))</f>
        <v/>
      </c>
      <c r="Q10" s="23">
        <f>IF(F10="Must",3,IF(F10="Should",2,IF(F10="Could",1,0)))</f>
        <v/>
      </c>
      <c r="R10" s="23">
        <f>IF(M10="","",IF(M10="OOTB",5,IF(M10="Konfigurace",3,IF(M10="Custom vývoj",1,IF(OR(M10="3rd party",M10="Nesplněno"),0,"")))))</f>
        <v/>
      </c>
      <c r="S10" s="24" t="n"/>
      <c r="T10" s="23">
        <f>IF(R10="","",IF(OR(P10="CHYBÍ odkaz FS",S10="Ne"),0,R10))</f>
        <v/>
      </c>
      <c r="U10" s="23">
        <f>IF(G10&lt;&gt;"Ano","",IF(M10="","",IF(OR(M10="Nesplněno",M10="3rd party",M10="Neakceptuje",S10="Ne",P10="CHYBÍ odkaz FS"),"FAIL",IF(M10="Akceptuje s výhradou","K VYJASNĚNÍ","PASS"))))</f>
        <v/>
      </c>
      <c r="V10" s="23">
        <f>IF(AND(J10="Byznys (30 %)",G10&lt;&gt;"Ano",ISNUMBER(T10)),T10*Q10,0)</f>
        <v/>
      </c>
      <c r="W10" s="23">
        <f>IF(AND(J10="Byznys (30 %)",G10&lt;&gt;"Ano",F10&lt;&gt;"Won't"),5*Q10,0)</f>
        <v/>
      </c>
      <c r="X10" s="25" t="n"/>
    </row>
    <row r="11">
      <c r="A11" s="18" t="n"/>
      <c r="B11" s="18" t="n"/>
      <c r="C11" s="19" t="n"/>
      <c r="D11" s="19" t="n"/>
      <c r="E11" s="18" t="n"/>
      <c r="F11" s="18" t="n"/>
      <c r="G11" s="18" t="n"/>
      <c r="H11" s="19" t="n"/>
      <c r="I11" s="18" t="n"/>
      <c r="J11" s="18" t="n"/>
      <c r="K11" s="18" t="n"/>
      <c r="L11" s="19" t="n"/>
      <c r="M11" s="21" t="n"/>
      <c r="N11" s="22" t="n"/>
      <c r="O11" s="21" t="n"/>
      <c r="P11" s="23">
        <f>IF(M11="","",IF(OR(M11="OOTB",M11="Konfigurace",M11="Custom vývoj"),IF(O11="","CHYBÍ odkaz FS","OK"),"N/A"))</f>
        <v/>
      </c>
      <c r="Q11" s="23">
        <f>IF(F11="Must",3,IF(F11="Should",2,IF(F11="Could",1,0)))</f>
        <v/>
      </c>
      <c r="R11" s="23">
        <f>IF(M11="","",IF(M11="OOTB",5,IF(M11="Konfigurace",3,IF(M11="Custom vývoj",1,IF(OR(M11="3rd party",M11="Nesplněno"),0,"")))))</f>
        <v/>
      </c>
      <c r="S11" s="24" t="n"/>
      <c r="T11" s="23">
        <f>IF(R11="","",IF(OR(P11="CHYBÍ odkaz FS",S11="Ne"),0,R11))</f>
        <v/>
      </c>
      <c r="U11" s="23">
        <f>IF(G11&lt;&gt;"Ano","",IF(M11="","",IF(OR(M11="Nesplněno",M11="3rd party",M11="Neakceptuje",S11="Ne",P11="CHYBÍ odkaz FS"),"FAIL",IF(M11="Akceptuje s výhradou","K VYJASNĚNÍ","PASS"))))</f>
        <v/>
      </c>
      <c r="V11" s="23">
        <f>IF(AND(J11="Byznys (30 %)",G11&lt;&gt;"Ano",ISNUMBER(T11)),T11*Q11,0)</f>
        <v/>
      </c>
      <c r="W11" s="23">
        <f>IF(AND(J11="Byznys (30 %)",G11&lt;&gt;"Ano",F11&lt;&gt;"Won't"),5*Q11,0)</f>
        <v/>
      </c>
      <c r="X11" s="25" t="n"/>
    </row>
    <row r="12">
      <c r="A12" s="18" t="n"/>
      <c r="B12" s="18" t="n"/>
      <c r="C12" s="19" t="n"/>
      <c r="D12" s="19" t="n"/>
      <c r="E12" s="18" t="n"/>
      <c r="F12" s="18" t="n"/>
      <c r="G12" s="18" t="n"/>
      <c r="H12" s="19" t="n"/>
      <c r="I12" s="18" t="n"/>
      <c r="J12" s="18" t="n"/>
      <c r="K12" s="18" t="n"/>
      <c r="L12" s="19" t="n"/>
      <c r="M12" s="21" t="n"/>
      <c r="N12" s="22" t="n"/>
      <c r="O12" s="21" t="n"/>
      <c r="P12" s="23">
        <f>IF(M12="","",IF(OR(M12="OOTB",M12="Konfigurace",M12="Custom vývoj"),IF(O12="","CHYBÍ odkaz FS","OK"),"N/A"))</f>
        <v/>
      </c>
      <c r="Q12" s="23">
        <f>IF(F12="Must",3,IF(F12="Should",2,IF(F12="Could",1,0)))</f>
        <v/>
      </c>
      <c r="R12" s="23">
        <f>IF(M12="","",IF(M12="OOTB",5,IF(M12="Konfigurace",3,IF(M12="Custom vývoj",1,IF(OR(M12="3rd party",M12="Nesplněno"),0,"")))))</f>
        <v/>
      </c>
      <c r="S12" s="24" t="n"/>
      <c r="T12" s="23">
        <f>IF(R12="","",IF(OR(P12="CHYBÍ odkaz FS",S12="Ne"),0,R12))</f>
        <v/>
      </c>
      <c r="U12" s="23">
        <f>IF(G12&lt;&gt;"Ano","",IF(M12="","",IF(OR(M12="Nesplněno",M12="3rd party",M12="Neakceptuje",S12="Ne",P12="CHYBÍ odkaz FS"),"FAIL",IF(M12="Akceptuje s výhradou","K VYJASNĚNÍ","PASS"))))</f>
        <v/>
      </c>
      <c r="V12" s="23">
        <f>IF(AND(J12="Byznys (30 %)",G12&lt;&gt;"Ano",ISNUMBER(T12)),T12*Q12,0)</f>
        <v/>
      </c>
      <c r="W12" s="23">
        <f>IF(AND(J12="Byznys (30 %)",G12&lt;&gt;"Ano",F12&lt;&gt;"Won't"),5*Q12,0)</f>
        <v/>
      </c>
      <c r="X12" s="25" t="n"/>
    </row>
    <row r="13">
      <c r="A13" s="18" t="n"/>
      <c r="B13" s="18" t="n"/>
      <c r="C13" s="19" t="n"/>
      <c r="D13" s="19" t="n"/>
      <c r="E13" s="18" t="n"/>
      <c r="F13" s="18" t="n"/>
      <c r="G13" s="18" t="n"/>
      <c r="H13" s="19" t="n"/>
      <c r="I13" s="18" t="n"/>
      <c r="J13" s="18" t="n"/>
      <c r="K13" s="18" t="n"/>
      <c r="L13" s="19" t="n"/>
      <c r="M13" s="21" t="n"/>
      <c r="N13" s="22" t="n"/>
      <c r="O13" s="21" t="n"/>
      <c r="P13" s="23">
        <f>IF(M13="","",IF(OR(M13="OOTB",M13="Konfigurace",M13="Custom vývoj"),IF(O13="","CHYBÍ odkaz FS","OK"),"N/A"))</f>
        <v/>
      </c>
      <c r="Q13" s="23">
        <f>IF(F13="Must",3,IF(F13="Should",2,IF(F13="Could",1,0)))</f>
        <v/>
      </c>
      <c r="R13" s="23">
        <f>IF(M13="","",IF(M13="OOTB",5,IF(M13="Konfigurace",3,IF(M13="Custom vývoj",1,IF(OR(M13="3rd party",M13="Nesplněno"),0,"")))))</f>
        <v/>
      </c>
      <c r="S13" s="24" t="n"/>
      <c r="T13" s="23">
        <f>IF(R13="","",IF(OR(P13="CHYBÍ odkaz FS",S13="Ne"),0,R13))</f>
        <v/>
      </c>
      <c r="U13" s="23">
        <f>IF(G13&lt;&gt;"Ano","",IF(M13="","",IF(OR(M13="Nesplněno",M13="3rd party",M13="Neakceptuje",S13="Ne",P13="CHYBÍ odkaz FS"),"FAIL",IF(M13="Akceptuje s výhradou","K VYJASNĚNÍ","PASS"))))</f>
        <v/>
      </c>
      <c r="V13" s="23">
        <f>IF(AND(J13="Byznys (30 %)",G13&lt;&gt;"Ano",ISNUMBER(T13)),T13*Q13,0)</f>
        <v/>
      </c>
      <c r="W13" s="23">
        <f>IF(AND(J13="Byznys (30 %)",G13&lt;&gt;"Ano",F13&lt;&gt;"Won't"),5*Q13,0)</f>
        <v/>
      </c>
      <c r="X13" s="25" t="n"/>
    </row>
    <row r="14">
      <c r="A14" s="18" t="n"/>
      <c r="B14" s="18" t="n"/>
      <c r="C14" s="19" t="n"/>
      <c r="D14" s="19" t="n"/>
      <c r="E14" s="18" t="n"/>
      <c r="F14" s="18" t="n"/>
      <c r="G14" s="18" t="n"/>
      <c r="H14" s="19" t="n"/>
      <c r="I14" s="18" t="n"/>
      <c r="J14" s="18" t="n"/>
      <c r="K14" s="18" t="n"/>
      <c r="L14" s="19" t="n"/>
      <c r="M14" s="21" t="n"/>
      <c r="N14" s="22" t="n"/>
      <c r="O14" s="21" t="n"/>
      <c r="P14" s="23">
        <f>IF(M14="","",IF(OR(M14="OOTB",M14="Konfigurace",M14="Custom vývoj"),IF(O14="","CHYBÍ odkaz FS","OK"),"N/A"))</f>
        <v/>
      </c>
      <c r="Q14" s="23">
        <f>IF(F14="Must",3,IF(F14="Should",2,IF(F14="Could",1,0)))</f>
        <v/>
      </c>
      <c r="R14" s="23">
        <f>IF(M14="","",IF(M14="OOTB",5,IF(M14="Konfigurace",3,IF(M14="Custom vývoj",1,IF(OR(M14="3rd party",M14="Nesplněno"),0,"")))))</f>
        <v/>
      </c>
      <c r="S14" s="24" t="n"/>
      <c r="T14" s="23">
        <f>IF(R14="","",IF(OR(P14="CHYBÍ odkaz FS",S14="Ne"),0,R14))</f>
        <v/>
      </c>
      <c r="U14" s="23">
        <f>IF(G14&lt;&gt;"Ano","",IF(M14="","",IF(OR(M14="Nesplněno",M14="3rd party",M14="Neakceptuje",S14="Ne",P14="CHYBÍ odkaz FS"),"FAIL",IF(M14="Akceptuje s výhradou","K VYJASNĚNÍ","PASS"))))</f>
        <v/>
      </c>
      <c r="V14" s="23">
        <f>IF(AND(J14="Byznys (30 %)",G14&lt;&gt;"Ano",ISNUMBER(T14)),T14*Q14,0)</f>
        <v/>
      </c>
      <c r="W14" s="23">
        <f>IF(AND(J14="Byznys (30 %)",G14&lt;&gt;"Ano",F14&lt;&gt;"Won't"),5*Q14,0)</f>
        <v/>
      </c>
      <c r="X14" s="25" t="n"/>
    </row>
    <row r="15">
      <c r="A15" s="18" t="n"/>
      <c r="B15" s="18" t="n"/>
      <c r="C15" s="19" t="n"/>
      <c r="D15" s="19" t="n"/>
      <c r="E15" s="18" t="n"/>
      <c r="F15" s="18" t="n"/>
      <c r="G15" s="18" t="n"/>
      <c r="H15" s="19" t="n"/>
      <c r="I15" s="18" t="n"/>
      <c r="J15" s="18" t="n"/>
      <c r="K15" s="18" t="n"/>
      <c r="L15" s="19" t="n"/>
      <c r="M15" s="21" t="n"/>
      <c r="N15" s="22" t="n"/>
      <c r="O15" s="21" t="n"/>
      <c r="P15" s="23">
        <f>IF(M15="","",IF(OR(M15="OOTB",M15="Konfigurace",M15="Custom vývoj"),IF(O15="","CHYBÍ odkaz FS","OK"),"N/A"))</f>
        <v/>
      </c>
      <c r="Q15" s="23">
        <f>IF(F15="Must",3,IF(F15="Should",2,IF(F15="Could",1,0)))</f>
        <v/>
      </c>
      <c r="R15" s="23">
        <f>IF(M15="","",IF(M15="OOTB",5,IF(M15="Konfigurace",3,IF(M15="Custom vývoj",1,IF(OR(M15="3rd party",M15="Nesplněno"),0,"")))))</f>
        <v/>
      </c>
      <c r="S15" s="24" t="n"/>
      <c r="T15" s="23">
        <f>IF(R15="","",IF(OR(P15="CHYBÍ odkaz FS",S15="Ne"),0,R15))</f>
        <v/>
      </c>
      <c r="U15" s="23">
        <f>IF(G15&lt;&gt;"Ano","",IF(M15="","",IF(OR(M15="Nesplněno",M15="3rd party",M15="Neakceptuje",S15="Ne",P15="CHYBÍ odkaz FS"),"FAIL",IF(M15="Akceptuje s výhradou","K VYJASNĚNÍ","PASS"))))</f>
        <v/>
      </c>
      <c r="V15" s="23">
        <f>IF(AND(J15="Byznys (30 %)",G15&lt;&gt;"Ano",ISNUMBER(T15)),T15*Q15,0)</f>
        <v/>
      </c>
      <c r="W15" s="23">
        <f>IF(AND(J15="Byznys (30 %)",G15&lt;&gt;"Ano",F15&lt;&gt;"Won't"),5*Q15,0)</f>
        <v/>
      </c>
      <c r="X15" s="25" t="n"/>
    </row>
    <row r="16">
      <c r="A16" s="18" t="n"/>
      <c r="B16" s="18" t="n"/>
      <c r="C16" s="19" t="n"/>
      <c r="D16" s="19" t="n"/>
      <c r="E16" s="18" t="n"/>
      <c r="F16" s="18" t="n"/>
      <c r="G16" s="18" t="n"/>
      <c r="H16" s="19" t="n"/>
      <c r="I16" s="18" t="n"/>
      <c r="J16" s="18" t="n"/>
      <c r="K16" s="18" t="n"/>
      <c r="L16" s="19" t="n"/>
      <c r="M16" s="21" t="n"/>
      <c r="N16" s="22" t="n"/>
      <c r="O16" s="21" t="n"/>
      <c r="P16" s="23">
        <f>IF(M16="","",IF(OR(M16="OOTB",M16="Konfigurace",M16="Custom vývoj"),IF(O16="","CHYBÍ odkaz FS","OK"),"N/A"))</f>
        <v/>
      </c>
      <c r="Q16" s="23">
        <f>IF(F16="Must",3,IF(F16="Should",2,IF(F16="Could",1,0)))</f>
        <v/>
      </c>
      <c r="R16" s="23">
        <f>IF(M16="","",IF(M16="OOTB",5,IF(M16="Konfigurace",3,IF(M16="Custom vývoj",1,IF(OR(M16="3rd party",M16="Nesplněno"),0,"")))))</f>
        <v/>
      </c>
      <c r="S16" s="24" t="n"/>
      <c r="T16" s="23">
        <f>IF(R16="","",IF(OR(P16="CHYBÍ odkaz FS",S16="Ne"),0,R16))</f>
        <v/>
      </c>
      <c r="U16" s="23">
        <f>IF(G16&lt;&gt;"Ano","",IF(M16="","",IF(OR(M16="Nesplněno",M16="3rd party",M16="Neakceptuje",S16="Ne",P16="CHYBÍ odkaz FS"),"FAIL",IF(M16="Akceptuje s výhradou","K VYJASNĚNÍ","PASS"))))</f>
        <v/>
      </c>
      <c r="V16" s="23">
        <f>IF(AND(J16="Byznys (30 %)",G16&lt;&gt;"Ano",ISNUMBER(T16)),T16*Q16,0)</f>
        <v/>
      </c>
      <c r="W16" s="23">
        <f>IF(AND(J16="Byznys (30 %)",G16&lt;&gt;"Ano",F16&lt;&gt;"Won't"),5*Q16,0)</f>
        <v/>
      </c>
      <c r="X16" s="25" t="n"/>
    </row>
    <row r="17">
      <c r="A17" s="18" t="n"/>
      <c r="B17" s="18" t="n"/>
      <c r="C17" s="19" t="n"/>
      <c r="D17" s="19" t="n"/>
      <c r="E17" s="18" t="n"/>
      <c r="F17" s="18" t="n"/>
      <c r="G17" s="18" t="n"/>
      <c r="H17" s="19" t="n"/>
      <c r="I17" s="18" t="n"/>
      <c r="J17" s="18" t="n"/>
      <c r="K17" s="18" t="n"/>
      <c r="L17" s="19" t="n"/>
      <c r="M17" s="21" t="n"/>
      <c r="N17" s="22" t="n"/>
      <c r="O17" s="21" t="n"/>
      <c r="P17" s="23">
        <f>IF(M17="","",IF(OR(M17="OOTB",M17="Konfigurace",M17="Custom vývoj"),IF(O17="","CHYBÍ odkaz FS","OK"),"N/A"))</f>
        <v/>
      </c>
      <c r="Q17" s="23">
        <f>IF(F17="Must",3,IF(F17="Should",2,IF(F17="Could",1,0)))</f>
        <v/>
      </c>
      <c r="R17" s="23">
        <f>IF(M17="","",IF(M17="OOTB",5,IF(M17="Konfigurace",3,IF(M17="Custom vývoj",1,IF(OR(M17="3rd party",M17="Nesplněno"),0,"")))))</f>
        <v/>
      </c>
      <c r="S17" s="24" t="n"/>
      <c r="T17" s="23">
        <f>IF(R17="","",IF(OR(P17="CHYBÍ odkaz FS",S17="Ne"),0,R17))</f>
        <v/>
      </c>
      <c r="U17" s="23">
        <f>IF(G17&lt;&gt;"Ano","",IF(M17="","",IF(OR(M17="Nesplněno",M17="3rd party",M17="Neakceptuje",S17="Ne",P17="CHYBÍ odkaz FS"),"FAIL",IF(M17="Akceptuje s výhradou","K VYJASNĚNÍ","PASS"))))</f>
        <v/>
      </c>
      <c r="V17" s="23">
        <f>IF(AND(J17="Byznys (30 %)",G17&lt;&gt;"Ano",ISNUMBER(T17)),T17*Q17,0)</f>
        <v/>
      </c>
      <c r="W17" s="23">
        <f>IF(AND(J17="Byznys (30 %)",G17&lt;&gt;"Ano",F17&lt;&gt;"Won't"),5*Q17,0)</f>
        <v/>
      </c>
      <c r="X17" s="25" t="n"/>
    </row>
    <row r="18">
      <c r="A18" s="18" t="n"/>
      <c r="B18" s="18" t="n"/>
      <c r="C18" s="19" t="n"/>
      <c r="D18" s="19" t="n"/>
      <c r="E18" s="18" t="n"/>
      <c r="F18" s="18" t="n"/>
      <c r="G18" s="18" t="n"/>
      <c r="H18" s="19" t="n"/>
      <c r="I18" s="18" t="n"/>
      <c r="J18" s="18" t="n"/>
      <c r="K18" s="18" t="n"/>
      <c r="L18" s="19" t="n"/>
      <c r="M18" s="21" t="n"/>
      <c r="N18" s="22" t="n"/>
      <c r="O18" s="21" t="n"/>
      <c r="P18" s="23">
        <f>IF(M18="","",IF(OR(M18="OOTB",M18="Konfigurace",M18="Custom vývoj"),IF(O18="","CHYBÍ odkaz FS","OK"),"N/A"))</f>
        <v/>
      </c>
      <c r="Q18" s="23">
        <f>IF(F18="Must",3,IF(F18="Should",2,IF(F18="Could",1,0)))</f>
        <v/>
      </c>
      <c r="R18" s="23">
        <f>IF(M18="","",IF(M18="OOTB",5,IF(M18="Konfigurace",3,IF(M18="Custom vývoj",1,IF(OR(M18="3rd party",M18="Nesplněno"),0,"")))))</f>
        <v/>
      </c>
      <c r="S18" s="24" t="n"/>
      <c r="T18" s="23">
        <f>IF(R18="","",IF(OR(P18="CHYBÍ odkaz FS",S18="Ne"),0,R18))</f>
        <v/>
      </c>
      <c r="U18" s="23">
        <f>IF(G18&lt;&gt;"Ano","",IF(M18="","",IF(OR(M18="Nesplněno",M18="3rd party",M18="Neakceptuje",S18="Ne",P18="CHYBÍ odkaz FS"),"FAIL",IF(M18="Akceptuje s výhradou","K VYJASNĚNÍ","PASS"))))</f>
        <v/>
      </c>
      <c r="V18" s="23">
        <f>IF(AND(J18="Byznys (30 %)",G18&lt;&gt;"Ano",ISNUMBER(T18)),T18*Q18,0)</f>
        <v/>
      </c>
      <c r="W18" s="23">
        <f>IF(AND(J18="Byznys (30 %)",G18&lt;&gt;"Ano",F18&lt;&gt;"Won't"),5*Q18,0)</f>
        <v/>
      </c>
      <c r="X18" s="25" t="n"/>
    </row>
    <row r="19">
      <c r="A19" s="18" t="n"/>
      <c r="B19" s="18" t="n"/>
      <c r="C19" s="19" t="n"/>
      <c r="D19" s="19" t="n"/>
      <c r="E19" s="18" t="n"/>
      <c r="F19" s="18" t="n"/>
      <c r="G19" s="18" t="n"/>
      <c r="H19" s="19" t="n"/>
      <c r="I19" s="18" t="n"/>
      <c r="J19" s="18" t="n"/>
      <c r="K19" s="18" t="n"/>
      <c r="L19" s="19" t="n"/>
      <c r="M19" s="21" t="n"/>
      <c r="N19" s="22" t="n"/>
      <c r="O19" s="21" t="n"/>
      <c r="P19" s="23">
        <f>IF(M19="","",IF(OR(M19="OOTB",M19="Konfigurace",M19="Custom vývoj"),IF(O19="","CHYBÍ odkaz FS","OK"),"N/A"))</f>
        <v/>
      </c>
      <c r="Q19" s="23">
        <f>IF(F19="Must",3,IF(F19="Should",2,IF(F19="Could",1,0)))</f>
        <v/>
      </c>
      <c r="R19" s="23">
        <f>IF(M19="","",IF(M19="OOTB",5,IF(M19="Konfigurace",3,IF(M19="Custom vývoj",1,IF(OR(M19="3rd party",M19="Nesplněno"),0,"")))))</f>
        <v/>
      </c>
      <c r="S19" s="24" t="n"/>
      <c r="T19" s="23">
        <f>IF(R19="","",IF(OR(P19="CHYBÍ odkaz FS",S19="Ne"),0,R19))</f>
        <v/>
      </c>
      <c r="U19" s="23">
        <f>IF(G19&lt;&gt;"Ano","",IF(M19="","",IF(OR(M19="Nesplněno",M19="3rd party",M19="Neakceptuje",S19="Ne",P19="CHYBÍ odkaz FS"),"FAIL",IF(M19="Akceptuje s výhradou","K VYJASNĚNÍ","PASS"))))</f>
        <v/>
      </c>
      <c r="V19" s="23">
        <f>IF(AND(J19="Byznys (30 %)",G19&lt;&gt;"Ano",ISNUMBER(T19)),T19*Q19,0)</f>
        <v/>
      </c>
      <c r="W19" s="23">
        <f>IF(AND(J19="Byznys (30 %)",G19&lt;&gt;"Ano",F19&lt;&gt;"Won't"),5*Q19,0)</f>
        <v/>
      </c>
      <c r="X19" s="25" t="n"/>
    </row>
    <row r="20">
      <c r="A20" s="18" t="n"/>
      <c r="B20" s="18" t="n"/>
      <c r="C20" s="19" t="n"/>
      <c r="D20" s="19" t="n"/>
      <c r="E20" s="18" t="n"/>
      <c r="F20" s="18" t="n"/>
      <c r="G20" s="18" t="n"/>
      <c r="H20" s="19" t="n"/>
      <c r="I20" s="18" t="n"/>
      <c r="J20" s="18" t="n"/>
      <c r="K20" s="18" t="n"/>
      <c r="L20" s="19" t="n"/>
      <c r="M20" s="21" t="n"/>
      <c r="N20" s="22" t="n"/>
      <c r="O20" s="21" t="n"/>
      <c r="P20" s="23">
        <f>IF(M20="","",IF(OR(M20="OOTB",M20="Konfigurace",M20="Custom vývoj"),IF(O20="","CHYBÍ odkaz FS","OK"),"N/A"))</f>
        <v/>
      </c>
      <c r="Q20" s="23">
        <f>IF(F20="Must",3,IF(F20="Should",2,IF(F20="Could",1,0)))</f>
        <v/>
      </c>
      <c r="R20" s="23">
        <f>IF(M20="","",IF(M20="OOTB",5,IF(M20="Konfigurace",3,IF(M20="Custom vývoj",1,IF(OR(M20="3rd party",M20="Nesplněno"),0,"")))))</f>
        <v/>
      </c>
      <c r="S20" s="24" t="n"/>
      <c r="T20" s="23">
        <f>IF(R20="","",IF(OR(P20="CHYBÍ odkaz FS",S20="Ne"),0,R20))</f>
        <v/>
      </c>
      <c r="U20" s="23">
        <f>IF(G20&lt;&gt;"Ano","",IF(M20="","",IF(OR(M20="Nesplněno",M20="3rd party",M20="Neakceptuje",S20="Ne",P20="CHYBÍ odkaz FS"),"FAIL",IF(M20="Akceptuje s výhradou","K VYJASNĚNÍ","PASS"))))</f>
        <v/>
      </c>
      <c r="V20" s="23">
        <f>IF(AND(J20="Byznys (30 %)",G20&lt;&gt;"Ano",ISNUMBER(T20)),T20*Q20,0)</f>
        <v/>
      </c>
      <c r="W20" s="23">
        <f>IF(AND(J20="Byznys (30 %)",G20&lt;&gt;"Ano",F20&lt;&gt;"Won't"),5*Q20,0)</f>
        <v/>
      </c>
      <c r="X20" s="25" t="n"/>
    </row>
    <row r="21">
      <c r="A21" s="18" t="n"/>
      <c r="B21" s="18" t="n"/>
      <c r="C21" s="19" t="n"/>
      <c r="D21" s="19" t="n"/>
      <c r="E21" s="18" t="n"/>
      <c r="F21" s="18" t="n"/>
      <c r="G21" s="18" t="n"/>
      <c r="H21" s="19" t="n"/>
      <c r="I21" s="18" t="n"/>
      <c r="J21" s="18" t="n"/>
      <c r="K21" s="18" t="n"/>
      <c r="L21" s="19" t="n"/>
      <c r="M21" s="21" t="n"/>
      <c r="N21" s="22" t="n"/>
      <c r="O21" s="21" t="n"/>
      <c r="P21" s="23">
        <f>IF(M21="","",IF(OR(M21="OOTB",M21="Konfigurace",M21="Custom vývoj"),IF(O21="","CHYBÍ odkaz FS","OK"),"N/A"))</f>
        <v/>
      </c>
      <c r="Q21" s="23">
        <f>IF(F21="Must",3,IF(F21="Should",2,IF(F21="Could",1,0)))</f>
        <v/>
      </c>
      <c r="R21" s="23">
        <f>IF(M21="","",IF(M21="OOTB",5,IF(M21="Konfigurace",3,IF(M21="Custom vývoj",1,IF(OR(M21="3rd party",M21="Nesplněno"),0,"")))))</f>
        <v/>
      </c>
      <c r="S21" s="24" t="n"/>
      <c r="T21" s="23">
        <f>IF(R21="","",IF(OR(P21="CHYBÍ odkaz FS",S21="Ne"),0,R21))</f>
        <v/>
      </c>
      <c r="U21" s="23">
        <f>IF(G21&lt;&gt;"Ano","",IF(M21="","",IF(OR(M21="Nesplněno",M21="3rd party",M21="Neakceptuje",S21="Ne",P21="CHYBÍ odkaz FS"),"FAIL",IF(M21="Akceptuje s výhradou","K VYJASNĚNÍ","PASS"))))</f>
        <v/>
      </c>
      <c r="V21" s="23">
        <f>IF(AND(J21="Byznys (30 %)",G21&lt;&gt;"Ano",ISNUMBER(T21)),T21*Q21,0)</f>
        <v/>
      </c>
      <c r="W21" s="23">
        <f>IF(AND(J21="Byznys (30 %)",G21&lt;&gt;"Ano",F21&lt;&gt;"Won't"),5*Q21,0)</f>
        <v/>
      </c>
      <c r="X21" s="25" t="n"/>
    </row>
    <row r="22">
      <c r="A22" s="18" t="n"/>
      <c r="B22" s="18" t="n"/>
      <c r="C22" s="19" t="n"/>
      <c r="D22" s="19" t="n"/>
      <c r="E22" s="18" t="n"/>
      <c r="F22" s="18" t="n"/>
      <c r="G22" s="18" t="n"/>
      <c r="H22" s="19" t="n"/>
      <c r="I22" s="18" t="n"/>
      <c r="J22" s="18" t="n"/>
      <c r="K22" s="18" t="n"/>
      <c r="L22" s="19" t="n"/>
      <c r="M22" s="21" t="n"/>
      <c r="N22" s="22" t="n"/>
      <c r="O22" s="21" t="n"/>
      <c r="P22" s="23">
        <f>IF(M22="","",IF(OR(M22="OOTB",M22="Konfigurace",M22="Custom vývoj"),IF(O22="","CHYBÍ odkaz FS","OK"),"N/A"))</f>
        <v/>
      </c>
      <c r="Q22" s="23">
        <f>IF(F22="Must",3,IF(F22="Should",2,IF(F22="Could",1,0)))</f>
        <v/>
      </c>
      <c r="R22" s="23">
        <f>IF(M22="","",IF(M22="OOTB",5,IF(M22="Konfigurace",3,IF(M22="Custom vývoj",1,IF(OR(M22="3rd party",M22="Nesplněno"),0,"")))))</f>
        <v/>
      </c>
      <c r="S22" s="24" t="n"/>
      <c r="T22" s="23">
        <f>IF(R22="","",IF(OR(P22="CHYBÍ odkaz FS",S22="Ne"),0,R22))</f>
        <v/>
      </c>
      <c r="U22" s="23">
        <f>IF(G22&lt;&gt;"Ano","",IF(M22="","",IF(OR(M22="Nesplněno",M22="3rd party",M22="Neakceptuje",S22="Ne",P22="CHYBÍ odkaz FS"),"FAIL",IF(M22="Akceptuje s výhradou","K VYJASNĚNÍ","PASS"))))</f>
        <v/>
      </c>
      <c r="V22" s="23">
        <f>IF(AND(J22="Byznys (30 %)",G22&lt;&gt;"Ano",ISNUMBER(T22)),T22*Q22,0)</f>
        <v/>
      </c>
      <c r="W22" s="23">
        <f>IF(AND(J22="Byznys (30 %)",G22&lt;&gt;"Ano",F22&lt;&gt;"Won't"),5*Q22,0)</f>
        <v/>
      </c>
      <c r="X22" s="25" t="n"/>
    </row>
    <row r="23">
      <c r="A23" s="18" t="n"/>
      <c r="B23" s="18" t="n"/>
      <c r="C23" s="19" t="n"/>
      <c r="D23" s="19" t="n"/>
      <c r="E23" s="18" t="n"/>
      <c r="F23" s="18" t="n"/>
      <c r="G23" s="18" t="n"/>
      <c r="H23" s="19" t="n"/>
      <c r="I23" s="18" t="n"/>
      <c r="J23" s="18" t="n"/>
      <c r="K23" s="18" t="n"/>
      <c r="L23" s="19" t="n"/>
      <c r="M23" s="21" t="n"/>
      <c r="N23" s="22" t="n"/>
      <c r="O23" s="21" t="n"/>
      <c r="P23" s="23">
        <f>IF(M23="","",IF(OR(M23="OOTB",M23="Konfigurace",M23="Custom vývoj"),IF(O23="","CHYBÍ odkaz FS","OK"),"N/A"))</f>
        <v/>
      </c>
      <c r="Q23" s="23">
        <f>IF(F23="Must",3,IF(F23="Should",2,IF(F23="Could",1,0)))</f>
        <v/>
      </c>
      <c r="R23" s="23">
        <f>IF(M23="","",IF(M23="OOTB",5,IF(M23="Konfigurace",3,IF(M23="Custom vývoj",1,IF(OR(M23="3rd party",M23="Nesplněno"),0,"")))))</f>
        <v/>
      </c>
      <c r="S23" s="24" t="n"/>
      <c r="T23" s="23">
        <f>IF(R23="","",IF(OR(P23="CHYBÍ odkaz FS",S23="Ne"),0,R23))</f>
        <v/>
      </c>
      <c r="U23" s="23">
        <f>IF(G23&lt;&gt;"Ano","",IF(M23="","",IF(OR(M23="Nesplněno",M23="3rd party",M23="Neakceptuje",S23="Ne",P23="CHYBÍ odkaz FS"),"FAIL",IF(M23="Akceptuje s výhradou","K VYJASNĚNÍ","PASS"))))</f>
        <v/>
      </c>
      <c r="V23" s="23">
        <f>IF(AND(J23="Byznys (30 %)",G23&lt;&gt;"Ano",ISNUMBER(T23)),T23*Q23,0)</f>
        <v/>
      </c>
      <c r="W23" s="23">
        <f>IF(AND(J23="Byznys (30 %)",G23&lt;&gt;"Ano",F23&lt;&gt;"Won't"),5*Q23,0)</f>
        <v/>
      </c>
      <c r="X23" s="25" t="n"/>
    </row>
    <row r="24">
      <c r="A24" s="18" t="n"/>
      <c r="B24" s="18" t="n"/>
      <c r="C24" s="19" t="n"/>
      <c r="D24" s="19" t="n"/>
      <c r="E24" s="18" t="n"/>
      <c r="F24" s="18" t="n"/>
      <c r="G24" s="18" t="n"/>
      <c r="H24" s="19" t="n"/>
      <c r="I24" s="18" t="n"/>
      <c r="J24" s="18" t="n"/>
      <c r="K24" s="18" t="n"/>
      <c r="L24" s="19" t="n"/>
      <c r="M24" s="21" t="n"/>
      <c r="N24" s="22" t="n"/>
      <c r="O24" s="21" t="n"/>
      <c r="P24" s="23">
        <f>IF(M24="","",IF(OR(M24="OOTB",M24="Konfigurace",M24="Custom vývoj"),IF(O24="","CHYBÍ odkaz FS","OK"),"N/A"))</f>
        <v/>
      </c>
      <c r="Q24" s="23">
        <f>IF(F24="Must",3,IF(F24="Should",2,IF(F24="Could",1,0)))</f>
        <v/>
      </c>
      <c r="R24" s="23">
        <f>IF(M24="","",IF(M24="OOTB",5,IF(M24="Konfigurace",3,IF(M24="Custom vývoj",1,IF(OR(M24="3rd party",M24="Nesplněno"),0,"")))))</f>
        <v/>
      </c>
      <c r="S24" s="24" t="n"/>
      <c r="T24" s="23">
        <f>IF(R24="","",IF(OR(P24="CHYBÍ odkaz FS",S24="Ne"),0,R24))</f>
        <v/>
      </c>
      <c r="U24" s="23">
        <f>IF(G24&lt;&gt;"Ano","",IF(M24="","",IF(OR(M24="Nesplněno",M24="3rd party",M24="Neakceptuje",S24="Ne",P24="CHYBÍ odkaz FS"),"FAIL",IF(M24="Akceptuje s výhradou","K VYJASNĚNÍ","PASS"))))</f>
        <v/>
      </c>
      <c r="V24" s="23">
        <f>IF(AND(J24="Byznys (30 %)",G24&lt;&gt;"Ano",ISNUMBER(T24)),T24*Q24,0)</f>
        <v/>
      </c>
      <c r="W24" s="23">
        <f>IF(AND(J24="Byznys (30 %)",G24&lt;&gt;"Ano",F24&lt;&gt;"Won't"),5*Q24,0)</f>
        <v/>
      </c>
      <c r="X24" s="25" t="n"/>
    </row>
    <row r="25">
      <c r="A25" s="18" t="n"/>
      <c r="B25" s="18" t="n"/>
      <c r="C25" s="19" t="n"/>
      <c r="D25" s="19" t="n"/>
      <c r="E25" s="18" t="n"/>
      <c r="F25" s="18" t="n"/>
      <c r="G25" s="18" t="n"/>
      <c r="H25" s="19" t="n"/>
      <c r="I25" s="18" t="n"/>
      <c r="J25" s="18" t="n"/>
      <c r="K25" s="18" t="n"/>
      <c r="L25" s="19" t="n"/>
      <c r="M25" s="21" t="n"/>
      <c r="N25" s="22" t="n"/>
      <c r="O25" s="21" t="n"/>
      <c r="P25" s="23">
        <f>IF(M25="","",IF(OR(M25="OOTB",M25="Konfigurace",M25="Custom vývoj"),IF(O25="","CHYBÍ odkaz FS","OK"),"N/A"))</f>
        <v/>
      </c>
      <c r="Q25" s="23">
        <f>IF(F25="Must",3,IF(F25="Should",2,IF(F25="Could",1,0)))</f>
        <v/>
      </c>
      <c r="R25" s="23">
        <f>IF(M25="","",IF(M25="OOTB",5,IF(M25="Konfigurace",3,IF(M25="Custom vývoj",1,IF(OR(M25="3rd party",M25="Nesplněno"),0,"")))))</f>
        <v/>
      </c>
      <c r="S25" s="24" t="n"/>
      <c r="T25" s="23">
        <f>IF(R25="","",IF(OR(P25="CHYBÍ odkaz FS",S25="Ne"),0,R25))</f>
        <v/>
      </c>
      <c r="U25" s="23">
        <f>IF(G25&lt;&gt;"Ano","",IF(M25="","",IF(OR(M25="Nesplněno",M25="3rd party",M25="Neakceptuje",S25="Ne",P25="CHYBÍ odkaz FS"),"FAIL",IF(M25="Akceptuje s výhradou","K VYJASNĚNÍ","PASS"))))</f>
        <v/>
      </c>
      <c r="V25" s="23">
        <f>IF(AND(J25="Byznys (30 %)",G25&lt;&gt;"Ano",ISNUMBER(T25)),T25*Q25,0)</f>
        <v/>
      </c>
      <c r="W25" s="23">
        <f>IF(AND(J25="Byznys (30 %)",G25&lt;&gt;"Ano",F25&lt;&gt;"Won't"),5*Q25,0)</f>
        <v/>
      </c>
      <c r="X25" s="25" t="n"/>
    </row>
    <row r="26">
      <c r="A26" s="18" t="n"/>
      <c r="B26" s="18" t="n"/>
      <c r="C26" s="19" t="n"/>
      <c r="D26" s="19" t="n"/>
      <c r="E26" s="18" t="n"/>
      <c r="F26" s="18" t="n"/>
      <c r="G26" s="18" t="n"/>
      <c r="H26" s="19" t="n"/>
      <c r="I26" s="18" t="n"/>
      <c r="J26" s="18" t="n"/>
      <c r="K26" s="18" t="n"/>
      <c r="L26" s="19" t="n"/>
      <c r="M26" s="21" t="n"/>
      <c r="N26" s="22" t="n"/>
      <c r="O26" s="21" t="n"/>
      <c r="P26" s="23">
        <f>IF(M26="","",IF(OR(M26="OOTB",M26="Konfigurace",M26="Custom vývoj"),IF(O26="","CHYBÍ odkaz FS","OK"),"N/A"))</f>
        <v/>
      </c>
      <c r="Q26" s="23">
        <f>IF(F26="Must",3,IF(F26="Should",2,IF(F26="Could",1,0)))</f>
        <v/>
      </c>
      <c r="R26" s="23">
        <f>IF(M26="","",IF(M26="OOTB",5,IF(M26="Konfigurace",3,IF(M26="Custom vývoj",1,IF(OR(M26="3rd party",M26="Nesplněno"),0,"")))))</f>
        <v/>
      </c>
      <c r="S26" s="24" t="n"/>
      <c r="T26" s="23">
        <f>IF(R26="","",IF(OR(P26="CHYBÍ odkaz FS",S26="Ne"),0,R26))</f>
        <v/>
      </c>
      <c r="U26" s="23">
        <f>IF(G26&lt;&gt;"Ano","",IF(M26="","",IF(OR(M26="Nesplněno",M26="3rd party",M26="Neakceptuje",S26="Ne",P26="CHYBÍ odkaz FS"),"FAIL",IF(M26="Akceptuje s výhradou","K VYJASNĚNÍ","PASS"))))</f>
        <v/>
      </c>
      <c r="V26" s="23">
        <f>IF(AND(J26="Byznys (30 %)",G26&lt;&gt;"Ano",ISNUMBER(T26)),T26*Q26,0)</f>
        <v/>
      </c>
      <c r="W26" s="23">
        <f>IF(AND(J26="Byznys (30 %)",G26&lt;&gt;"Ano",F26&lt;&gt;"Won't"),5*Q26,0)</f>
        <v/>
      </c>
      <c r="X26" s="25" t="n"/>
    </row>
    <row r="27">
      <c r="A27" s="18" t="n"/>
      <c r="B27" s="18" t="n"/>
      <c r="C27" s="19" t="n"/>
      <c r="D27" s="19" t="n"/>
      <c r="E27" s="18" t="n"/>
      <c r="F27" s="18" t="n"/>
      <c r="G27" s="18" t="n"/>
      <c r="H27" s="19" t="n"/>
      <c r="I27" s="18" t="n"/>
      <c r="J27" s="18" t="n"/>
      <c r="K27" s="18" t="n"/>
      <c r="L27" s="19" t="n"/>
      <c r="M27" s="21" t="n"/>
      <c r="N27" s="22" t="n"/>
      <c r="O27" s="21" t="n"/>
      <c r="P27" s="23">
        <f>IF(M27="","",IF(OR(M27="OOTB",M27="Konfigurace",M27="Custom vývoj"),IF(O27="","CHYBÍ odkaz FS","OK"),"N/A"))</f>
        <v/>
      </c>
      <c r="Q27" s="23">
        <f>IF(F27="Must",3,IF(F27="Should",2,IF(F27="Could",1,0)))</f>
        <v/>
      </c>
      <c r="R27" s="23">
        <f>IF(M27="","",IF(M27="OOTB",5,IF(M27="Konfigurace",3,IF(M27="Custom vývoj",1,IF(OR(M27="3rd party",M27="Nesplněno"),0,"")))))</f>
        <v/>
      </c>
      <c r="S27" s="24" t="n"/>
      <c r="T27" s="23">
        <f>IF(R27="","",IF(OR(P27="CHYBÍ odkaz FS",S27="Ne"),0,R27))</f>
        <v/>
      </c>
      <c r="U27" s="23">
        <f>IF(G27&lt;&gt;"Ano","",IF(M27="","",IF(OR(M27="Nesplněno",M27="3rd party",M27="Neakceptuje",S27="Ne",P27="CHYBÍ odkaz FS"),"FAIL",IF(M27="Akceptuje s výhradou","K VYJASNĚNÍ","PASS"))))</f>
        <v/>
      </c>
      <c r="V27" s="23">
        <f>IF(AND(J27="Byznys (30 %)",G27&lt;&gt;"Ano",ISNUMBER(T27)),T27*Q27,0)</f>
        <v/>
      </c>
      <c r="W27" s="23">
        <f>IF(AND(J27="Byznys (30 %)",G27&lt;&gt;"Ano",F27&lt;&gt;"Won't"),5*Q27,0)</f>
        <v/>
      </c>
      <c r="X27" s="25" t="n"/>
    </row>
    <row r="28">
      <c r="A28" s="18" t="n"/>
      <c r="B28" s="18" t="n"/>
      <c r="C28" s="19" t="n"/>
      <c r="D28" s="19" t="n"/>
      <c r="E28" s="18" t="n"/>
      <c r="F28" s="18" t="n"/>
      <c r="G28" s="18" t="n"/>
      <c r="H28" s="19" t="n"/>
      <c r="I28" s="18" t="n"/>
      <c r="J28" s="18" t="n"/>
      <c r="K28" s="18" t="n"/>
      <c r="L28" s="19" t="n"/>
      <c r="M28" s="21" t="n"/>
      <c r="N28" s="22" t="n"/>
      <c r="O28" s="21" t="n"/>
      <c r="P28" s="23">
        <f>IF(M28="","",IF(OR(M28="OOTB",M28="Konfigurace",M28="Custom vývoj"),IF(O28="","CHYBÍ odkaz FS","OK"),"N/A"))</f>
        <v/>
      </c>
      <c r="Q28" s="23">
        <f>IF(F28="Must",3,IF(F28="Should",2,IF(F28="Could",1,0)))</f>
        <v/>
      </c>
      <c r="R28" s="23">
        <f>IF(M28="","",IF(M28="OOTB",5,IF(M28="Konfigurace",3,IF(M28="Custom vývoj",1,IF(OR(M28="3rd party",M28="Nesplněno"),0,"")))))</f>
        <v/>
      </c>
      <c r="S28" s="24" t="n"/>
      <c r="T28" s="23">
        <f>IF(R28="","",IF(OR(P28="CHYBÍ odkaz FS",S28="Ne"),0,R28))</f>
        <v/>
      </c>
      <c r="U28" s="23">
        <f>IF(G28&lt;&gt;"Ano","",IF(M28="","",IF(OR(M28="Nesplněno",M28="3rd party",M28="Neakceptuje",S28="Ne",P28="CHYBÍ odkaz FS"),"FAIL",IF(M28="Akceptuje s výhradou","K VYJASNĚNÍ","PASS"))))</f>
        <v/>
      </c>
      <c r="V28" s="23">
        <f>IF(AND(J28="Byznys (30 %)",G28&lt;&gt;"Ano",ISNUMBER(T28)),T28*Q28,0)</f>
        <v/>
      </c>
      <c r="W28" s="23">
        <f>IF(AND(J28="Byznys (30 %)",G28&lt;&gt;"Ano",F28&lt;&gt;"Won't"),5*Q28,0)</f>
        <v/>
      </c>
      <c r="X28" s="25" t="n"/>
    </row>
    <row r="29">
      <c r="A29" s="18" t="n"/>
      <c r="B29" s="18" t="n"/>
      <c r="C29" s="19" t="n"/>
      <c r="D29" s="19" t="n"/>
      <c r="E29" s="18" t="n"/>
      <c r="F29" s="18" t="n"/>
      <c r="G29" s="18" t="n"/>
      <c r="H29" s="19" t="n"/>
      <c r="I29" s="18" t="n"/>
      <c r="J29" s="18" t="n"/>
      <c r="K29" s="18" t="n"/>
      <c r="L29" s="19" t="n"/>
      <c r="M29" s="21" t="n"/>
      <c r="N29" s="22" t="n"/>
      <c r="O29" s="21" t="n"/>
      <c r="P29" s="23">
        <f>IF(M29="","",IF(OR(M29="OOTB",M29="Konfigurace",M29="Custom vývoj"),IF(O29="","CHYBÍ odkaz FS","OK"),"N/A"))</f>
        <v/>
      </c>
      <c r="Q29" s="23">
        <f>IF(F29="Must",3,IF(F29="Should",2,IF(F29="Could",1,0)))</f>
        <v/>
      </c>
      <c r="R29" s="23">
        <f>IF(M29="","",IF(M29="OOTB",5,IF(M29="Konfigurace",3,IF(M29="Custom vývoj",1,IF(OR(M29="3rd party",M29="Nesplněno"),0,"")))))</f>
        <v/>
      </c>
      <c r="S29" s="24" t="n"/>
      <c r="T29" s="23">
        <f>IF(R29="","",IF(OR(P29="CHYBÍ odkaz FS",S29="Ne"),0,R29))</f>
        <v/>
      </c>
      <c r="U29" s="23">
        <f>IF(G29&lt;&gt;"Ano","",IF(M29="","",IF(OR(M29="Nesplněno",M29="3rd party",M29="Neakceptuje",S29="Ne",P29="CHYBÍ odkaz FS"),"FAIL",IF(M29="Akceptuje s výhradou","K VYJASNĚNÍ","PASS"))))</f>
        <v/>
      </c>
      <c r="V29" s="23">
        <f>IF(AND(J29="Byznys (30 %)",G29&lt;&gt;"Ano",ISNUMBER(T29)),T29*Q29,0)</f>
        <v/>
      </c>
      <c r="W29" s="23">
        <f>IF(AND(J29="Byznys (30 %)",G29&lt;&gt;"Ano",F29&lt;&gt;"Won't"),5*Q29,0)</f>
        <v/>
      </c>
      <c r="X29" s="25" t="n"/>
    </row>
    <row r="30">
      <c r="A30" s="18" t="n"/>
      <c r="B30" s="18" t="n"/>
      <c r="C30" s="19" t="n"/>
      <c r="D30" s="19" t="n"/>
      <c r="E30" s="18" t="n"/>
      <c r="F30" s="18" t="n"/>
      <c r="G30" s="18" t="n"/>
      <c r="H30" s="19" t="n"/>
      <c r="I30" s="18" t="n"/>
      <c r="J30" s="18" t="n"/>
      <c r="K30" s="18" t="n"/>
      <c r="L30" s="19" t="n"/>
      <c r="M30" s="21" t="n"/>
      <c r="N30" s="22" t="n"/>
      <c r="O30" s="21" t="n"/>
      <c r="P30" s="23">
        <f>IF(M30="","",IF(OR(M30="OOTB",M30="Konfigurace",M30="Custom vývoj"),IF(O30="","CHYBÍ odkaz FS","OK"),"N/A"))</f>
        <v/>
      </c>
      <c r="Q30" s="23">
        <f>IF(F30="Must",3,IF(F30="Should",2,IF(F30="Could",1,0)))</f>
        <v/>
      </c>
      <c r="R30" s="23">
        <f>IF(M30="","",IF(M30="OOTB",5,IF(M30="Konfigurace",3,IF(M30="Custom vývoj",1,IF(OR(M30="3rd party",M30="Nesplněno"),0,"")))))</f>
        <v/>
      </c>
      <c r="S30" s="24" t="n"/>
      <c r="T30" s="23">
        <f>IF(R30="","",IF(OR(P30="CHYBÍ odkaz FS",S30="Ne"),0,R30))</f>
        <v/>
      </c>
      <c r="U30" s="23">
        <f>IF(G30&lt;&gt;"Ano","",IF(M30="","",IF(OR(M30="Nesplněno",M30="3rd party",M30="Neakceptuje",S30="Ne",P30="CHYBÍ odkaz FS"),"FAIL",IF(M30="Akceptuje s výhradou","K VYJASNĚNÍ","PASS"))))</f>
        <v/>
      </c>
      <c r="V30" s="23">
        <f>IF(AND(J30="Byznys (30 %)",G30&lt;&gt;"Ano",ISNUMBER(T30)),T30*Q30,0)</f>
        <v/>
      </c>
      <c r="W30" s="23">
        <f>IF(AND(J30="Byznys (30 %)",G30&lt;&gt;"Ano",F30&lt;&gt;"Won't"),5*Q30,0)</f>
        <v/>
      </c>
      <c r="X30" s="25" t="n"/>
    </row>
    <row r="31">
      <c r="A31" s="18" t="n"/>
      <c r="B31" s="18" t="n"/>
      <c r="C31" s="19" t="n"/>
      <c r="D31" s="19" t="n"/>
      <c r="E31" s="18" t="n"/>
      <c r="F31" s="18" t="n"/>
      <c r="G31" s="18" t="n"/>
      <c r="H31" s="19" t="n"/>
      <c r="I31" s="18" t="n"/>
      <c r="J31" s="18" t="n"/>
      <c r="K31" s="18" t="n"/>
      <c r="L31" s="19" t="n"/>
      <c r="M31" s="21" t="n"/>
      <c r="N31" s="22" t="n"/>
      <c r="O31" s="21" t="n"/>
      <c r="P31" s="23">
        <f>IF(M31="","",IF(OR(M31="OOTB",M31="Konfigurace",M31="Custom vývoj"),IF(O31="","CHYBÍ odkaz FS","OK"),"N/A"))</f>
        <v/>
      </c>
      <c r="Q31" s="23">
        <f>IF(F31="Must",3,IF(F31="Should",2,IF(F31="Could",1,0)))</f>
        <v/>
      </c>
      <c r="R31" s="23">
        <f>IF(M31="","",IF(M31="OOTB",5,IF(M31="Konfigurace",3,IF(M31="Custom vývoj",1,IF(OR(M31="3rd party",M31="Nesplněno"),0,"")))))</f>
        <v/>
      </c>
      <c r="S31" s="24" t="n"/>
      <c r="T31" s="23">
        <f>IF(R31="","",IF(OR(P31="CHYBÍ odkaz FS",S31="Ne"),0,R31))</f>
        <v/>
      </c>
      <c r="U31" s="23">
        <f>IF(G31&lt;&gt;"Ano","",IF(M31="","",IF(OR(M31="Nesplněno",M31="3rd party",M31="Neakceptuje",S31="Ne",P31="CHYBÍ odkaz FS"),"FAIL",IF(M31="Akceptuje s výhradou","K VYJASNĚNÍ","PASS"))))</f>
        <v/>
      </c>
      <c r="V31" s="23">
        <f>IF(AND(J31="Byznys (30 %)",G31&lt;&gt;"Ano",ISNUMBER(T31)),T31*Q31,0)</f>
        <v/>
      </c>
      <c r="W31" s="23">
        <f>IF(AND(J31="Byznys (30 %)",G31&lt;&gt;"Ano",F31&lt;&gt;"Won't"),5*Q31,0)</f>
        <v/>
      </c>
      <c r="X31" s="25" t="n"/>
    </row>
    <row r="32">
      <c r="A32" s="18" t="n"/>
      <c r="B32" s="18" t="n"/>
      <c r="C32" s="19" t="n"/>
      <c r="D32" s="19" t="n"/>
      <c r="E32" s="18" t="n"/>
      <c r="F32" s="18" t="n"/>
      <c r="G32" s="18" t="n"/>
      <c r="H32" s="19" t="n"/>
      <c r="I32" s="18" t="n"/>
      <c r="J32" s="18" t="n"/>
      <c r="K32" s="18" t="n"/>
      <c r="L32" s="19" t="n"/>
      <c r="M32" s="21" t="n"/>
      <c r="N32" s="22" t="n"/>
      <c r="O32" s="21" t="n"/>
      <c r="P32" s="23">
        <f>IF(M32="","",IF(OR(M32="OOTB",M32="Konfigurace",M32="Custom vývoj"),IF(O32="","CHYBÍ odkaz FS","OK"),"N/A"))</f>
        <v/>
      </c>
      <c r="Q32" s="23">
        <f>IF(F32="Must",3,IF(F32="Should",2,IF(F32="Could",1,0)))</f>
        <v/>
      </c>
      <c r="R32" s="23">
        <f>IF(M32="","",IF(M32="OOTB",5,IF(M32="Konfigurace",3,IF(M32="Custom vývoj",1,IF(OR(M32="3rd party",M32="Nesplněno"),0,"")))))</f>
        <v/>
      </c>
      <c r="S32" s="24" t="n"/>
      <c r="T32" s="23">
        <f>IF(R32="","",IF(OR(P32="CHYBÍ odkaz FS",S32="Ne"),0,R32))</f>
        <v/>
      </c>
      <c r="U32" s="23">
        <f>IF(G32&lt;&gt;"Ano","",IF(M32="","",IF(OR(M32="Nesplněno",M32="3rd party",M32="Neakceptuje",S32="Ne",P32="CHYBÍ odkaz FS"),"FAIL",IF(M32="Akceptuje s výhradou","K VYJASNĚNÍ","PASS"))))</f>
        <v/>
      </c>
      <c r="V32" s="23">
        <f>IF(AND(J32="Byznys (30 %)",G32&lt;&gt;"Ano",ISNUMBER(T32)),T32*Q32,0)</f>
        <v/>
      </c>
      <c r="W32" s="23">
        <f>IF(AND(J32="Byznys (30 %)",G32&lt;&gt;"Ano",F32&lt;&gt;"Won't"),5*Q32,0)</f>
        <v/>
      </c>
      <c r="X32" s="25" t="n"/>
    </row>
    <row r="33">
      <c r="A33" s="18" t="n"/>
      <c r="B33" s="18" t="n"/>
      <c r="C33" s="19" t="n"/>
      <c r="D33" s="19" t="n"/>
      <c r="E33" s="18" t="n"/>
      <c r="F33" s="18" t="n"/>
      <c r="G33" s="18" t="n"/>
      <c r="H33" s="19" t="n"/>
      <c r="I33" s="18" t="n"/>
      <c r="J33" s="18" t="n"/>
      <c r="K33" s="18" t="n"/>
      <c r="L33" s="19" t="n"/>
      <c r="M33" s="21" t="n"/>
      <c r="N33" s="22" t="n"/>
      <c r="O33" s="21" t="n"/>
      <c r="P33" s="23">
        <f>IF(M33="","",IF(OR(M33="OOTB",M33="Konfigurace",M33="Custom vývoj"),IF(O33="","CHYBÍ odkaz FS","OK"),"N/A"))</f>
        <v/>
      </c>
      <c r="Q33" s="23">
        <f>IF(F33="Must",3,IF(F33="Should",2,IF(F33="Could",1,0)))</f>
        <v/>
      </c>
      <c r="R33" s="23">
        <f>IF(M33="","",IF(M33="OOTB",5,IF(M33="Konfigurace",3,IF(M33="Custom vývoj",1,IF(OR(M33="3rd party",M33="Nesplněno"),0,"")))))</f>
        <v/>
      </c>
      <c r="S33" s="24" t="n"/>
      <c r="T33" s="23">
        <f>IF(R33="","",IF(OR(P33="CHYBÍ odkaz FS",S33="Ne"),0,R33))</f>
        <v/>
      </c>
      <c r="U33" s="23">
        <f>IF(G33&lt;&gt;"Ano","",IF(M33="","",IF(OR(M33="Nesplněno",M33="3rd party",M33="Neakceptuje",S33="Ne",P33="CHYBÍ odkaz FS"),"FAIL",IF(M33="Akceptuje s výhradou","K VYJASNĚNÍ","PASS"))))</f>
        <v/>
      </c>
      <c r="V33" s="23">
        <f>IF(AND(J33="Byznys (30 %)",G33&lt;&gt;"Ano",ISNUMBER(T33)),T33*Q33,0)</f>
        <v/>
      </c>
      <c r="W33" s="23">
        <f>IF(AND(J33="Byznys (30 %)",G33&lt;&gt;"Ano",F33&lt;&gt;"Won't"),5*Q33,0)</f>
        <v/>
      </c>
      <c r="X33" s="25" t="n"/>
    </row>
    <row r="34">
      <c r="A34" s="18" t="n"/>
      <c r="B34" s="18" t="n"/>
      <c r="C34" s="19" t="n"/>
      <c r="D34" s="19" t="n"/>
      <c r="E34" s="18" t="n"/>
      <c r="F34" s="18" t="n"/>
      <c r="G34" s="18" t="n"/>
      <c r="H34" s="19" t="n"/>
      <c r="I34" s="18" t="n"/>
      <c r="J34" s="18" t="n"/>
      <c r="K34" s="18" t="n"/>
      <c r="L34" s="19" t="n"/>
      <c r="M34" s="21" t="n"/>
      <c r="N34" s="22" t="n"/>
      <c r="O34" s="21" t="n"/>
      <c r="P34" s="23">
        <f>IF(M34="","",IF(OR(M34="OOTB",M34="Konfigurace",M34="Custom vývoj"),IF(O34="","CHYBÍ odkaz FS","OK"),"N/A"))</f>
        <v/>
      </c>
      <c r="Q34" s="23">
        <f>IF(F34="Must",3,IF(F34="Should",2,IF(F34="Could",1,0)))</f>
        <v/>
      </c>
      <c r="R34" s="23">
        <f>IF(M34="","",IF(M34="OOTB",5,IF(M34="Konfigurace",3,IF(M34="Custom vývoj",1,IF(OR(M34="3rd party",M34="Nesplněno"),0,"")))))</f>
        <v/>
      </c>
      <c r="S34" s="24" t="n"/>
      <c r="T34" s="23">
        <f>IF(R34="","",IF(OR(P34="CHYBÍ odkaz FS",S34="Ne"),0,R34))</f>
        <v/>
      </c>
      <c r="U34" s="23">
        <f>IF(G34&lt;&gt;"Ano","",IF(M34="","",IF(OR(M34="Nesplněno",M34="3rd party",M34="Neakceptuje",S34="Ne",P34="CHYBÍ odkaz FS"),"FAIL",IF(M34="Akceptuje s výhradou","K VYJASNĚNÍ","PASS"))))</f>
        <v/>
      </c>
      <c r="V34" s="23">
        <f>IF(AND(J34="Byznys (30 %)",G34&lt;&gt;"Ano",ISNUMBER(T34)),T34*Q34,0)</f>
        <v/>
      </c>
      <c r="W34" s="23">
        <f>IF(AND(J34="Byznys (30 %)",G34&lt;&gt;"Ano",F34&lt;&gt;"Won't"),5*Q34,0)</f>
        <v/>
      </c>
      <c r="X34" s="25" t="n"/>
    </row>
    <row r="35">
      <c r="A35" s="18" t="n"/>
      <c r="B35" s="18" t="n"/>
      <c r="C35" s="19" t="n"/>
      <c r="D35" s="19" t="n"/>
      <c r="E35" s="18" t="n"/>
      <c r="F35" s="18" t="n"/>
      <c r="G35" s="18" t="n"/>
      <c r="H35" s="19" t="n"/>
      <c r="I35" s="18" t="n"/>
      <c r="J35" s="18" t="n"/>
      <c r="K35" s="18" t="n"/>
      <c r="L35" s="19" t="n"/>
      <c r="M35" s="21" t="n"/>
      <c r="N35" s="22" t="n"/>
      <c r="O35" s="21" t="n"/>
      <c r="P35" s="23">
        <f>IF(M35="","",IF(OR(M35="OOTB",M35="Konfigurace",M35="Custom vývoj"),IF(O35="","CHYBÍ odkaz FS","OK"),"N/A"))</f>
        <v/>
      </c>
      <c r="Q35" s="23">
        <f>IF(F35="Must",3,IF(F35="Should",2,IF(F35="Could",1,0)))</f>
        <v/>
      </c>
      <c r="R35" s="23">
        <f>IF(M35="","",IF(M35="OOTB",5,IF(M35="Konfigurace",3,IF(M35="Custom vývoj",1,IF(OR(M35="3rd party",M35="Nesplněno"),0,"")))))</f>
        <v/>
      </c>
      <c r="S35" s="24" t="n"/>
      <c r="T35" s="23">
        <f>IF(R35="","",IF(OR(P35="CHYBÍ odkaz FS",S35="Ne"),0,R35))</f>
        <v/>
      </c>
      <c r="U35" s="23">
        <f>IF(G35&lt;&gt;"Ano","",IF(M35="","",IF(OR(M35="Nesplněno",M35="3rd party",M35="Neakceptuje",S35="Ne",P35="CHYBÍ odkaz FS"),"FAIL",IF(M35="Akceptuje s výhradou","K VYJASNĚNÍ","PASS"))))</f>
        <v/>
      </c>
      <c r="V35" s="23">
        <f>IF(AND(J35="Byznys (30 %)",G35&lt;&gt;"Ano",ISNUMBER(T35)),T35*Q35,0)</f>
        <v/>
      </c>
      <c r="W35" s="23">
        <f>IF(AND(J35="Byznys (30 %)",G35&lt;&gt;"Ano",F35&lt;&gt;"Won't"),5*Q35,0)</f>
        <v/>
      </c>
      <c r="X35" s="25" t="n"/>
    </row>
    <row r="36">
      <c r="A36" s="18" t="n"/>
      <c r="B36" s="18" t="n"/>
      <c r="C36" s="19" t="n"/>
      <c r="D36" s="19" t="n"/>
      <c r="E36" s="18" t="n"/>
      <c r="F36" s="18" t="n"/>
      <c r="G36" s="18" t="n"/>
      <c r="H36" s="19" t="n"/>
      <c r="I36" s="18" t="n"/>
      <c r="J36" s="18" t="n"/>
      <c r="K36" s="18" t="n"/>
      <c r="L36" s="19" t="n"/>
      <c r="M36" s="21" t="n"/>
      <c r="N36" s="22" t="n"/>
      <c r="O36" s="21" t="n"/>
      <c r="P36" s="23">
        <f>IF(M36="","",IF(OR(M36="OOTB",M36="Konfigurace",M36="Custom vývoj"),IF(O36="","CHYBÍ odkaz FS","OK"),"N/A"))</f>
        <v/>
      </c>
      <c r="Q36" s="23">
        <f>IF(F36="Must",3,IF(F36="Should",2,IF(F36="Could",1,0)))</f>
        <v/>
      </c>
      <c r="R36" s="23">
        <f>IF(M36="","",IF(M36="OOTB",5,IF(M36="Konfigurace",3,IF(M36="Custom vývoj",1,IF(OR(M36="3rd party",M36="Nesplněno"),0,"")))))</f>
        <v/>
      </c>
      <c r="S36" s="24" t="n"/>
      <c r="T36" s="23">
        <f>IF(R36="","",IF(OR(P36="CHYBÍ odkaz FS",S36="Ne"),0,R36))</f>
        <v/>
      </c>
      <c r="U36" s="23">
        <f>IF(G36&lt;&gt;"Ano","",IF(M36="","",IF(OR(M36="Nesplněno",M36="3rd party",M36="Neakceptuje",S36="Ne",P36="CHYBÍ odkaz FS"),"FAIL",IF(M36="Akceptuje s výhradou","K VYJASNĚNÍ","PASS"))))</f>
        <v/>
      </c>
      <c r="V36" s="23">
        <f>IF(AND(J36="Byznys (30 %)",G36&lt;&gt;"Ano",ISNUMBER(T36)),T36*Q36,0)</f>
        <v/>
      </c>
      <c r="W36" s="23">
        <f>IF(AND(J36="Byznys (30 %)",G36&lt;&gt;"Ano",F36&lt;&gt;"Won't"),5*Q36,0)</f>
        <v/>
      </c>
      <c r="X36" s="25" t="n"/>
    </row>
    <row r="37">
      <c r="A37" s="18" t="n"/>
      <c r="B37" s="18" t="n"/>
      <c r="C37" s="19" t="n"/>
      <c r="D37" s="19" t="n"/>
      <c r="E37" s="18" t="n"/>
      <c r="F37" s="18" t="n"/>
      <c r="G37" s="18" t="n"/>
      <c r="H37" s="19" t="n"/>
      <c r="I37" s="18" t="n"/>
      <c r="J37" s="18" t="n"/>
      <c r="K37" s="18" t="n"/>
      <c r="L37" s="19" t="n"/>
      <c r="M37" s="21" t="n"/>
      <c r="N37" s="22" t="n"/>
      <c r="O37" s="21" t="n"/>
      <c r="P37" s="23">
        <f>IF(M37="","",IF(OR(M37="OOTB",M37="Konfigurace",M37="Custom vývoj"),IF(O37="","CHYBÍ odkaz FS","OK"),"N/A"))</f>
        <v/>
      </c>
      <c r="Q37" s="23">
        <f>IF(F37="Must",3,IF(F37="Should",2,IF(F37="Could",1,0)))</f>
        <v/>
      </c>
      <c r="R37" s="23">
        <f>IF(M37="","",IF(M37="OOTB",5,IF(M37="Konfigurace",3,IF(M37="Custom vývoj",1,IF(OR(M37="3rd party",M37="Nesplněno"),0,"")))))</f>
        <v/>
      </c>
      <c r="S37" s="24" t="n"/>
      <c r="T37" s="23">
        <f>IF(R37="","",IF(OR(P37="CHYBÍ odkaz FS",S37="Ne"),0,R37))</f>
        <v/>
      </c>
      <c r="U37" s="23">
        <f>IF(G37&lt;&gt;"Ano","",IF(M37="","",IF(OR(M37="Nesplněno",M37="3rd party",M37="Neakceptuje",S37="Ne",P37="CHYBÍ odkaz FS"),"FAIL",IF(M37="Akceptuje s výhradou","K VYJASNĚNÍ","PASS"))))</f>
        <v/>
      </c>
      <c r="V37" s="23">
        <f>IF(AND(J37="Byznys (30 %)",G37&lt;&gt;"Ano",ISNUMBER(T37)),T37*Q37,0)</f>
        <v/>
      </c>
      <c r="W37" s="23">
        <f>IF(AND(J37="Byznys (30 %)",G37&lt;&gt;"Ano",F37&lt;&gt;"Won't"),5*Q37,0)</f>
        <v/>
      </c>
      <c r="X37" s="25" t="n"/>
    </row>
    <row r="38">
      <c r="A38" s="18" t="n"/>
      <c r="B38" s="18" t="n"/>
      <c r="C38" s="19" t="n"/>
      <c r="D38" s="19" t="n"/>
      <c r="E38" s="18" t="n"/>
      <c r="F38" s="18" t="n"/>
      <c r="G38" s="18" t="n"/>
      <c r="H38" s="19" t="n"/>
      <c r="I38" s="18" t="n"/>
      <c r="J38" s="18" t="n"/>
      <c r="K38" s="18" t="n"/>
      <c r="L38" s="19" t="n"/>
      <c r="M38" s="21" t="n"/>
      <c r="N38" s="22" t="n"/>
      <c r="O38" s="21" t="n"/>
      <c r="P38" s="23">
        <f>IF(M38="","",IF(OR(M38="OOTB",M38="Konfigurace",M38="Custom vývoj"),IF(O38="","CHYBÍ odkaz FS","OK"),"N/A"))</f>
        <v/>
      </c>
      <c r="Q38" s="23">
        <f>IF(F38="Must",3,IF(F38="Should",2,IF(F38="Could",1,0)))</f>
        <v/>
      </c>
      <c r="R38" s="23">
        <f>IF(M38="","",IF(M38="OOTB",5,IF(M38="Konfigurace",3,IF(M38="Custom vývoj",1,IF(OR(M38="3rd party",M38="Nesplněno"),0,"")))))</f>
        <v/>
      </c>
      <c r="S38" s="24" t="n"/>
      <c r="T38" s="23">
        <f>IF(R38="","",IF(OR(P38="CHYBÍ odkaz FS",S38="Ne"),0,R38))</f>
        <v/>
      </c>
      <c r="U38" s="23">
        <f>IF(G38&lt;&gt;"Ano","",IF(M38="","",IF(OR(M38="Nesplněno",M38="3rd party",M38="Neakceptuje",S38="Ne",P38="CHYBÍ odkaz FS"),"FAIL",IF(M38="Akceptuje s výhradou","K VYJASNĚNÍ","PASS"))))</f>
        <v/>
      </c>
      <c r="V38" s="23">
        <f>IF(AND(J38="Byznys (30 %)",G38&lt;&gt;"Ano",ISNUMBER(T38)),T38*Q38,0)</f>
        <v/>
      </c>
      <c r="W38" s="23">
        <f>IF(AND(J38="Byznys (30 %)",G38&lt;&gt;"Ano",F38&lt;&gt;"Won't"),5*Q38,0)</f>
        <v/>
      </c>
      <c r="X38" s="25" t="n"/>
    </row>
    <row r="39">
      <c r="A39" s="18" t="n"/>
      <c r="B39" s="18" t="n"/>
      <c r="C39" s="19" t="n"/>
      <c r="D39" s="19" t="n"/>
      <c r="E39" s="18" t="n"/>
      <c r="F39" s="18" t="n"/>
      <c r="G39" s="18" t="n"/>
      <c r="H39" s="19" t="n"/>
      <c r="I39" s="18" t="n"/>
      <c r="J39" s="18" t="n"/>
      <c r="K39" s="18" t="n"/>
      <c r="L39" s="19" t="n"/>
      <c r="M39" s="21" t="n"/>
      <c r="N39" s="22" t="n"/>
      <c r="O39" s="21" t="n"/>
      <c r="P39" s="23">
        <f>IF(M39="","",IF(OR(M39="OOTB",M39="Konfigurace",M39="Custom vývoj"),IF(O39="","CHYBÍ odkaz FS","OK"),"N/A"))</f>
        <v/>
      </c>
      <c r="Q39" s="23">
        <f>IF(F39="Must",3,IF(F39="Should",2,IF(F39="Could",1,0)))</f>
        <v/>
      </c>
      <c r="R39" s="23">
        <f>IF(M39="","",IF(M39="OOTB",5,IF(M39="Konfigurace",3,IF(M39="Custom vývoj",1,IF(OR(M39="3rd party",M39="Nesplněno"),0,"")))))</f>
        <v/>
      </c>
      <c r="S39" s="24" t="n"/>
      <c r="T39" s="23">
        <f>IF(R39="","",IF(OR(P39="CHYBÍ odkaz FS",S39="Ne"),0,R39))</f>
        <v/>
      </c>
      <c r="U39" s="23">
        <f>IF(G39&lt;&gt;"Ano","",IF(M39="","",IF(OR(M39="Nesplněno",M39="3rd party",M39="Neakceptuje",S39="Ne",P39="CHYBÍ odkaz FS"),"FAIL",IF(M39="Akceptuje s výhradou","K VYJASNĚNÍ","PASS"))))</f>
        <v/>
      </c>
      <c r="V39" s="23">
        <f>IF(AND(J39="Byznys (30 %)",G39&lt;&gt;"Ano",ISNUMBER(T39)),T39*Q39,0)</f>
        <v/>
      </c>
      <c r="W39" s="23">
        <f>IF(AND(J39="Byznys (30 %)",G39&lt;&gt;"Ano",F39&lt;&gt;"Won't"),5*Q39,0)</f>
        <v/>
      </c>
      <c r="X39" s="25" t="n"/>
    </row>
    <row r="40">
      <c r="A40" s="18" t="n"/>
      <c r="B40" s="18" t="n"/>
      <c r="C40" s="19" t="n"/>
      <c r="D40" s="19" t="n"/>
      <c r="E40" s="18" t="n"/>
      <c r="F40" s="18" t="n"/>
      <c r="G40" s="18" t="n"/>
      <c r="H40" s="19" t="n"/>
      <c r="I40" s="18" t="n"/>
      <c r="J40" s="18" t="n"/>
      <c r="K40" s="18" t="n"/>
      <c r="L40" s="19" t="n"/>
      <c r="M40" s="21" t="n"/>
      <c r="N40" s="22" t="n"/>
      <c r="O40" s="21" t="n"/>
      <c r="P40" s="23">
        <f>IF(M40="","",IF(OR(M40="OOTB",M40="Konfigurace",M40="Custom vývoj"),IF(O40="","CHYBÍ odkaz FS","OK"),"N/A"))</f>
        <v/>
      </c>
      <c r="Q40" s="23">
        <f>IF(F40="Must",3,IF(F40="Should",2,IF(F40="Could",1,0)))</f>
        <v/>
      </c>
      <c r="R40" s="23">
        <f>IF(M40="","",IF(M40="OOTB",5,IF(M40="Konfigurace",3,IF(M40="Custom vývoj",1,IF(OR(M40="3rd party",M40="Nesplněno"),0,"")))))</f>
        <v/>
      </c>
      <c r="S40" s="24" t="n"/>
      <c r="T40" s="23">
        <f>IF(R40="","",IF(OR(P40="CHYBÍ odkaz FS",S40="Ne"),0,R40))</f>
        <v/>
      </c>
      <c r="U40" s="23">
        <f>IF(G40&lt;&gt;"Ano","",IF(M40="","",IF(OR(M40="Nesplněno",M40="3rd party",M40="Neakceptuje",S40="Ne",P40="CHYBÍ odkaz FS"),"FAIL",IF(M40="Akceptuje s výhradou","K VYJASNĚNÍ","PASS"))))</f>
        <v/>
      </c>
      <c r="V40" s="23">
        <f>IF(AND(J40="Byznys (30 %)",G40&lt;&gt;"Ano",ISNUMBER(T40)),T40*Q40,0)</f>
        <v/>
      </c>
      <c r="W40" s="23">
        <f>IF(AND(J40="Byznys (30 %)",G40&lt;&gt;"Ano",F40&lt;&gt;"Won't"),5*Q40,0)</f>
        <v/>
      </c>
      <c r="X40" s="25" t="n"/>
    </row>
    <row r="41">
      <c r="A41" s="18" t="n"/>
      <c r="B41" s="18" t="n"/>
      <c r="C41" s="19" t="n"/>
      <c r="D41" s="19" t="n"/>
      <c r="E41" s="18" t="n"/>
      <c r="F41" s="18" t="n"/>
      <c r="G41" s="18" t="n"/>
      <c r="H41" s="19" t="n"/>
      <c r="I41" s="18" t="n"/>
      <c r="J41" s="18" t="n"/>
      <c r="K41" s="18" t="n"/>
      <c r="L41" s="19" t="n"/>
      <c r="M41" s="21" t="n"/>
      <c r="N41" s="22" t="n"/>
      <c r="O41" s="21" t="n"/>
      <c r="P41" s="23">
        <f>IF(M41="","",IF(OR(M41="OOTB",M41="Konfigurace",M41="Custom vývoj"),IF(O41="","CHYBÍ odkaz FS","OK"),"N/A"))</f>
        <v/>
      </c>
      <c r="Q41" s="23">
        <f>IF(F41="Must",3,IF(F41="Should",2,IF(F41="Could",1,0)))</f>
        <v/>
      </c>
      <c r="R41" s="23">
        <f>IF(M41="","",IF(M41="OOTB",5,IF(M41="Konfigurace",3,IF(M41="Custom vývoj",1,IF(OR(M41="3rd party",M41="Nesplněno"),0,"")))))</f>
        <v/>
      </c>
      <c r="S41" s="24" t="n"/>
      <c r="T41" s="23">
        <f>IF(R41="","",IF(OR(P41="CHYBÍ odkaz FS",S41="Ne"),0,R41))</f>
        <v/>
      </c>
      <c r="U41" s="23">
        <f>IF(G41&lt;&gt;"Ano","",IF(M41="","",IF(OR(M41="Nesplněno",M41="3rd party",M41="Neakceptuje",S41="Ne",P41="CHYBÍ odkaz FS"),"FAIL",IF(M41="Akceptuje s výhradou","K VYJASNĚNÍ","PASS"))))</f>
        <v/>
      </c>
      <c r="V41" s="23">
        <f>IF(AND(J41="Byznys (30 %)",G41&lt;&gt;"Ano",ISNUMBER(T41)),T41*Q41,0)</f>
        <v/>
      </c>
      <c r="W41" s="23">
        <f>IF(AND(J41="Byznys (30 %)",G41&lt;&gt;"Ano",F41&lt;&gt;"Won't"),5*Q41,0)</f>
        <v/>
      </c>
      <c r="X41" s="25" t="n"/>
    </row>
    <row r="42">
      <c r="A42" s="18" t="n"/>
      <c r="B42" s="18" t="n"/>
      <c r="C42" s="19" t="n"/>
      <c r="D42" s="19" t="n"/>
      <c r="E42" s="18" t="n"/>
      <c r="F42" s="18" t="n"/>
      <c r="G42" s="18" t="n"/>
      <c r="H42" s="19" t="n"/>
      <c r="I42" s="18" t="n"/>
      <c r="J42" s="18" t="n"/>
      <c r="K42" s="18" t="n"/>
      <c r="L42" s="19" t="n"/>
      <c r="M42" s="21" t="n"/>
      <c r="N42" s="22" t="n"/>
      <c r="O42" s="21" t="n"/>
      <c r="P42" s="23">
        <f>IF(M42="","",IF(OR(M42="OOTB",M42="Konfigurace",M42="Custom vývoj"),IF(O42="","CHYBÍ odkaz FS","OK"),"N/A"))</f>
        <v/>
      </c>
      <c r="Q42" s="23">
        <f>IF(F42="Must",3,IF(F42="Should",2,IF(F42="Could",1,0)))</f>
        <v/>
      </c>
      <c r="R42" s="23">
        <f>IF(M42="","",IF(M42="OOTB",5,IF(M42="Konfigurace",3,IF(M42="Custom vývoj",1,IF(OR(M42="3rd party",M42="Nesplněno"),0,"")))))</f>
        <v/>
      </c>
      <c r="S42" s="24" t="n"/>
      <c r="T42" s="23">
        <f>IF(R42="","",IF(OR(P42="CHYBÍ odkaz FS",S42="Ne"),0,R42))</f>
        <v/>
      </c>
      <c r="U42" s="23">
        <f>IF(G42&lt;&gt;"Ano","",IF(M42="","",IF(OR(M42="Nesplněno",M42="3rd party",M42="Neakceptuje",S42="Ne",P42="CHYBÍ odkaz FS"),"FAIL",IF(M42="Akceptuje s výhradou","K VYJASNĚNÍ","PASS"))))</f>
        <v/>
      </c>
      <c r="V42" s="23">
        <f>IF(AND(J42="Byznys (30 %)",G42&lt;&gt;"Ano",ISNUMBER(T42)),T42*Q42,0)</f>
        <v/>
      </c>
      <c r="W42" s="23">
        <f>IF(AND(J42="Byznys (30 %)",G42&lt;&gt;"Ano",F42&lt;&gt;"Won't"),5*Q42,0)</f>
        <v/>
      </c>
      <c r="X42" s="25" t="n"/>
    </row>
    <row r="43">
      <c r="A43" s="18" t="n"/>
      <c r="B43" s="18" t="n"/>
      <c r="C43" s="19" t="n"/>
      <c r="D43" s="19" t="n"/>
      <c r="E43" s="18" t="n"/>
      <c r="F43" s="18" t="n"/>
      <c r="G43" s="18" t="n"/>
      <c r="H43" s="19" t="n"/>
      <c r="I43" s="18" t="n"/>
      <c r="J43" s="18" t="n"/>
      <c r="K43" s="18" t="n"/>
      <c r="L43" s="19" t="n"/>
      <c r="M43" s="21" t="n"/>
      <c r="N43" s="22" t="n"/>
      <c r="O43" s="21" t="n"/>
      <c r="P43" s="23">
        <f>IF(M43="","",IF(OR(M43="OOTB",M43="Konfigurace",M43="Custom vývoj"),IF(O43="","CHYBÍ odkaz FS","OK"),"N/A"))</f>
        <v/>
      </c>
      <c r="Q43" s="23">
        <f>IF(F43="Must",3,IF(F43="Should",2,IF(F43="Could",1,0)))</f>
        <v/>
      </c>
      <c r="R43" s="23">
        <f>IF(M43="","",IF(M43="OOTB",5,IF(M43="Konfigurace",3,IF(M43="Custom vývoj",1,IF(OR(M43="3rd party",M43="Nesplněno"),0,"")))))</f>
        <v/>
      </c>
      <c r="S43" s="24" t="n"/>
      <c r="T43" s="23">
        <f>IF(R43="","",IF(OR(P43="CHYBÍ odkaz FS",S43="Ne"),0,R43))</f>
        <v/>
      </c>
      <c r="U43" s="23">
        <f>IF(G43&lt;&gt;"Ano","",IF(M43="","",IF(OR(M43="Nesplněno",M43="3rd party",M43="Neakceptuje",S43="Ne",P43="CHYBÍ odkaz FS"),"FAIL",IF(M43="Akceptuje s výhradou","K VYJASNĚNÍ","PASS"))))</f>
        <v/>
      </c>
      <c r="V43" s="23">
        <f>IF(AND(J43="Byznys (30 %)",G43&lt;&gt;"Ano",ISNUMBER(T43)),T43*Q43,0)</f>
        <v/>
      </c>
      <c r="W43" s="23">
        <f>IF(AND(J43="Byznys (30 %)",G43&lt;&gt;"Ano",F43&lt;&gt;"Won't"),5*Q43,0)</f>
        <v/>
      </c>
      <c r="X43" s="25" t="n"/>
    </row>
    <row r="44">
      <c r="A44" s="18" t="n"/>
      <c r="B44" s="18" t="n"/>
      <c r="C44" s="19" t="n"/>
      <c r="D44" s="19" t="n"/>
      <c r="E44" s="18" t="n"/>
      <c r="F44" s="18" t="n"/>
      <c r="G44" s="18" t="n"/>
      <c r="H44" s="19" t="n"/>
      <c r="I44" s="18" t="n"/>
      <c r="J44" s="18" t="n"/>
      <c r="K44" s="18" t="n"/>
      <c r="L44" s="19" t="n"/>
      <c r="M44" s="21" t="n"/>
      <c r="N44" s="22" t="n"/>
      <c r="O44" s="21" t="n"/>
      <c r="P44" s="23">
        <f>IF(M44="","",IF(OR(M44="OOTB",M44="Konfigurace",M44="Custom vývoj"),IF(O44="","CHYBÍ odkaz FS","OK"),"N/A"))</f>
        <v/>
      </c>
      <c r="Q44" s="23">
        <f>IF(F44="Must",3,IF(F44="Should",2,IF(F44="Could",1,0)))</f>
        <v/>
      </c>
      <c r="R44" s="23">
        <f>IF(M44="","",IF(M44="OOTB",5,IF(M44="Konfigurace",3,IF(M44="Custom vývoj",1,IF(OR(M44="3rd party",M44="Nesplněno"),0,"")))))</f>
        <v/>
      </c>
      <c r="S44" s="24" t="n"/>
      <c r="T44" s="23">
        <f>IF(R44="","",IF(OR(P44="CHYBÍ odkaz FS",S44="Ne"),0,R44))</f>
        <v/>
      </c>
      <c r="U44" s="23">
        <f>IF(G44&lt;&gt;"Ano","",IF(M44="","",IF(OR(M44="Nesplněno",M44="3rd party",M44="Neakceptuje",S44="Ne",P44="CHYBÍ odkaz FS"),"FAIL",IF(M44="Akceptuje s výhradou","K VYJASNĚNÍ","PASS"))))</f>
        <v/>
      </c>
      <c r="V44" s="23">
        <f>IF(AND(J44="Byznys (30 %)",G44&lt;&gt;"Ano",ISNUMBER(T44)),T44*Q44,0)</f>
        <v/>
      </c>
      <c r="W44" s="23">
        <f>IF(AND(J44="Byznys (30 %)",G44&lt;&gt;"Ano",F44&lt;&gt;"Won't"),5*Q44,0)</f>
        <v/>
      </c>
      <c r="X44" s="25" t="n"/>
    </row>
    <row r="45">
      <c r="A45" s="18" t="n"/>
      <c r="B45" s="18" t="n"/>
      <c r="C45" s="19" t="n"/>
      <c r="D45" s="19" t="n"/>
      <c r="E45" s="18" t="n"/>
      <c r="F45" s="18" t="n"/>
      <c r="G45" s="18" t="n"/>
      <c r="H45" s="19" t="n"/>
      <c r="I45" s="18" t="n"/>
      <c r="J45" s="18" t="n"/>
      <c r="K45" s="18" t="n"/>
      <c r="L45" s="19" t="n"/>
      <c r="M45" s="21" t="n"/>
      <c r="N45" s="22" t="n"/>
      <c r="O45" s="21" t="n"/>
      <c r="P45" s="23">
        <f>IF(M45="","",IF(OR(M45="OOTB",M45="Konfigurace",M45="Custom vývoj"),IF(O45="","CHYBÍ odkaz FS","OK"),"N/A"))</f>
        <v/>
      </c>
      <c r="Q45" s="23">
        <f>IF(F45="Must",3,IF(F45="Should",2,IF(F45="Could",1,0)))</f>
        <v/>
      </c>
      <c r="R45" s="23">
        <f>IF(M45="","",IF(M45="OOTB",5,IF(M45="Konfigurace",3,IF(M45="Custom vývoj",1,IF(OR(M45="3rd party",M45="Nesplněno"),0,"")))))</f>
        <v/>
      </c>
      <c r="S45" s="24" t="n"/>
      <c r="T45" s="23">
        <f>IF(R45="","",IF(OR(P45="CHYBÍ odkaz FS",S45="Ne"),0,R45))</f>
        <v/>
      </c>
      <c r="U45" s="23">
        <f>IF(G45&lt;&gt;"Ano","",IF(M45="","",IF(OR(M45="Nesplněno",M45="3rd party",M45="Neakceptuje",S45="Ne",P45="CHYBÍ odkaz FS"),"FAIL",IF(M45="Akceptuje s výhradou","K VYJASNĚNÍ","PASS"))))</f>
        <v/>
      </c>
      <c r="V45" s="23">
        <f>IF(AND(J45="Byznys (30 %)",G45&lt;&gt;"Ano",ISNUMBER(T45)),T45*Q45,0)</f>
        <v/>
      </c>
      <c r="W45" s="23">
        <f>IF(AND(J45="Byznys (30 %)",G45&lt;&gt;"Ano",F45&lt;&gt;"Won't"),5*Q45,0)</f>
        <v/>
      </c>
      <c r="X45" s="25" t="n"/>
    </row>
    <row r="46">
      <c r="A46" s="18" t="n"/>
      <c r="B46" s="18" t="n"/>
      <c r="C46" s="19" t="n"/>
      <c r="D46" s="19" t="n"/>
      <c r="E46" s="18" t="n"/>
      <c r="F46" s="18" t="n"/>
      <c r="G46" s="18" t="n"/>
      <c r="H46" s="19" t="n"/>
      <c r="I46" s="18" t="n"/>
      <c r="J46" s="18" t="n"/>
      <c r="K46" s="18" t="n"/>
      <c r="L46" s="19" t="n"/>
      <c r="M46" s="21" t="n"/>
      <c r="N46" s="22" t="n"/>
      <c r="O46" s="21" t="n"/>
      <c r="P46" s="23">
        <f>IF(M46="","",IF(OR(M46="OOTB",M46="Konfigurace",M46="Custom vývoj"),IF(O46="","CHYBÍ odkaz FS","OK"),"N/A"))</f>
        <v/>
      </c>
      <c r="Q46" s="23">
        <f>IF(F46="Must",3,IF(F46="Should",2,IF(F46="Could",1,0)))</f>
        <v/>
      </c>
      <c r="R46" s="23">
        <f>IF(M46="","",IF(M46="OOTB",5,IF(M46="Konfigurace",3,IF(M46="Custom vývoj",1,IF(OR(M46="3rd party",M46="Nesplněno"),0,"")))))</f>
        <v/>
      </c>
      <c r="S46" s="24" t="n"/>
      <c r="T46" s="23">
        <f>IF(R46="","",IF(OR(P46="CHYBÍ odkaz FS",S46="Ne"),0,R46))</f>
        <v/>
      </c>
      <c r="U46" s="23">
        <f>IF(G46&lt;&gt;"Ano","",IF(M46="","",IF(OR(M46="Nesplněno",M46="3rd party",M46="Neakceptuje",S46="Ne",P46="CHYBÍ odkaz FS"),"FAIL",IF(M46="Akceptuje s výhradou","K VYJASNĚNÍ","PASS"))))</f>
        <v/>
      </c>
      <c r="V46" s="23">
        <f>IF(AND(J46="Byznys (30 %)",G46&lt;&gt;"Ano",ISNUMBER(T46)),T46*Q46,0)</f>
        <v/>
      </c>
      <c r="W46" s="23">
        <f>IF(AND(J46="Byznys (30 %)",G46&lt;&gt;"Ano",F46&lt;&gt;"Won't"),5*Q46,0)</f>
        <v/>
      </c>
      <c r="X46" s="25" t="n"/>
    </row>
    <row r="47">
      <c r="A47" s="18" t="n"/>
      <c r="B47" s="18" t="n"/>
      <c r="C47" s="19" t="n"/>
      <c r="D47" s="19" t="n"/>
      <c r="E47" s="18" t="n"/>
      <c r="F47" s="18" t="n"/>
      <c r="G47" s="18" t="n"/>
      <c r="H47" s="19" t="n"/>
      <c r="I47" s="18" t="n"/>
      <c r="J47" s="18" t="n"/>
      <c r="K47" s="18" t="n"/>
      <c r="L47" s="19" t="n"/>
      <c r="M47" s="21" t="n"/>
      <c r="N47" s="22" t="n"/>
      <c r="O47" s="21" t="n"/>
      <c r="P47" s="23">
        <f>IF(M47="","",IF(OR(M47="OOTB",M47="Konfigurace",M47="Custom vývoj"),IF(O47="","CHYBÍ odkaz FS","OK"),"N/A"))</f>
        <v/>
      </c>
      <c r="Q47" s="23">
        <f>IF(F47="Must",3,IF(F47="Should",2,IF(F47="Could",1,0)))</f>
        <v/>
      </c>
      <c r="R47" s="23">
        <f>IF(M47="","",IF(M47="OOTB",5,IF(M47="Konfigurace",3,IF(M47="Custom vývoj",1,IF(OR(M47="3rd party",M47="Nesplněno"),0,"")))))</f>
        <v/>
      </c>
      <c r="S47" s="24" t="n"/>
      <c r="T47" s="23">
        <f>IF(R47="","",IF(OR(P47="CHYBÍ odkaz FS",S47="Ne"),0,R47))</f>
        <v/>
      </c>
      <c r="U47" s="23">
        <f>IF(G47&lt;&gt;"Ano","",IF(M47="","",IF(OR(M47="Nesplněno",M47="3rd party",M47="Neakceptuje",S47="Ne",P47="CHYBÍ odkaz FS"),"FAIL",IF(M47="Akceptuje s výhradou","K VYJASNĚNÍ","PASS"))))</f>
        <v/>
      </c>
      <c r="V47" s="23">
        <f>IF(AND(J47="Byznys (30 %)",G47&lt;&gt;"Ano",ISNUMBER(T47)),T47*Q47,0)</f>
        <v/>
      </c>
      <c r="W47" s="23">
        <f>IF(AND(J47="Byznys (30 %)",G47&lt;&gt;"Ano",F47&lt;&gt;"Won't"),5*Q47,0)</f>
        <v/>
      </c>
      <c r="X47" s="25" t="n"/>
    </row>
    <row r="48">
      <c r="A48" s="18" t="n"/>
      <c r="B48" s="18" t="n"/>
      <c r="C48" s="19" t="n"/>
      <c r="D48" s="19" t="n"/>
      <c r="E48" s="18" t="n"/>
      <c r="F48" s="18" t="n"/>
      <c r="G48" s="18" t="n"/>
      <c r="H48" s="19" t="n"/>
      <c r="I48" s="18" t="n"/>
      <c r="J48" s="18" t="n"/>
      <c r="K48" s="18" t="n"/>
      <c r="L48" s="19" t="n"/>
      <c r="M48" s="21" t="n"/>
      <c r="N48" s="22" t="n"/>
      <c r="O48" s="21" t="n"/>
      <c r="P48" s="23">
        <f>IF(M48="","",IF(OR(M48="OOTB",M48="Konfigurace",M48="Custom vývoj"),IF(O48="","CHYBÍ odkaz FS","OK"),"N/A"))</f>
        <v/>
      </c>
      <c r="Q48" s="23">
        <f>IF(F48="Must",3,IF(F48="Should",2,IF(F48="Could",1,0)))</f>
        <v/>
      </c>
      <c r="R48" s="23">
        <f>IF(M48="","",IF(M48="OOTB",5,IF(M48="Konfigurace",3,IF(M48="Custom vývoj",1,IF(OR(M48="3rd party",M48="Nesplněno"),0,"")))))</f>
        <v/>
      </c>
      <c r="S48" s="24" t="n"/>
      <c r="T48" s="23">
        <f>IF(R48="","",IF(OR(P48="CHYBÍ odkaz FS",S48="Ne"),0,R48))</f>
        <v/>
      </c>
      <c r="U48" s="23">
        <f>IF(G48&lt;&gt;"Ano","",IF(M48="","",IF(OR(M48="Nesplněno",M48="3rd party",M48="Neakceptuje",S48="Ne",P48="CHYBÍ odkaz FS"),"FAIL",IF(M48="Akceptuje s výhradou","K VYJASNĚNÍ","PASS"))))</f>
        <v/>
      </c>
      <c r="V48" s="23">
        <f>IF(AND(J48="Byznys (30 %)",G48&lt;&gt;"Ano",ISNUMBER(T48)),T48*Q48,0)</f>
        <v/>
      </c>
      <c r="W48" s="23">
        <f>IF(AND(J48="Byznys (30 %)",G48&lt;&gt;"Ano",F48&lt;&gt;"Won't"),5*Q48,0)</f>
        <v/>
      </c>
      <c r="X48" s="25" t="n"/>
    </row>
    <row r="49">
      <c r="A49" s="18" t="n"/>
      <c r="B49" s="18" t="n"/>
      <c r="C49" s="19" t="n"/>
      <c r="D49" s="19" t="n"/>
      <c r="E49" s="18" t="n"/>
      <c r="F49" s="18" t="n"/>
      <c r="G49" s="18" t="n"/>
      <c r="H49" s="19" t="n"/>
      <c r="I49" s="18" t="n"/>
      <c r="J49" s="18" t="n"/>
      <c r="K49" s="18" t="n"/>
      <c r="L49" s="19" t="n"/>
      <c r="M49" s="21" t="n"/>
      <c r="N49" s="22" t="n"/>
      <c r="O49" s="21" t="n"/>
      <c r="P49" s="23">
        <f>IF(M49="","",IF(OR(M49="OOTB",M49="Konfigurace",M49="Custom vývoj"),IF(O49="","CHYBÍ odkaz FS","OK"),"N/A"))</f>
        <v/>
      </c>
      <c r="Q49" s="23">
        <f>IF(F49="Must",3,IF(F49="Should",2,IF(F49="Could",1,0)))</f>
        <v/>
      </c>
      <c r="R49" s="23">
        <f>IF(M49="","",IF(M49="OOTB",5,IF(M49="Konfigurace",3,IF(M49="Custom vývoj",1,IF(OR(M49="3rd party",M49="Nesplněno"),0,"")))))</f>
        <v/>
      </c>
      <c r="S49" s="24" t="n"/>
      <c r="T49" s="23">
        <f>IF(R49="","",IF(OR(P49="CHYBÍ odkaz FS",S49="Ne"),0,R49))</f>
        <v/>
      </c>
      <c r="U49" s="23">
        <f>IF(G49&lt;&gt;"Ano","",IF(M49="","",IF(OR(M49="Nesplněno",M49="3rd party",M49="Neakceptuje",S49="Ne",P49="CHYBÍ odkaz FS"),"FAIL",IF(M49="Akceptuje s výhradou","K VYJASNĚNÍ","PASS"))))</f>
        <v/>
      </c>
      <c r="V49" s="23">
        <f>IF(AND(J49="Byznys (30 %)",G49&lt;&gt;"Ano",ISNUMBER(T49)),T49*Q49,0)</f>
        <v/>
      </c>
      <c r="W49" s="23">
        <f>IF(AND(J49="Byznys (30 %)",G49&lt;&gt;"Ano",F49&lt;&gt;"Won't"),5*Q49,0)</f>
        <v/>
      </c>
      <c r="X49" s="25" t="n"/>
    </row>
    <row r="50">
      <c r="A50" s="18" t="n"/>
      <c r="B50" s="18" t="n"/>
      <c r="C50" s="19" t="n"/>
      <c r="D50" s="19" t="n"/>
      <c r="E50" s="18" t="n"/>
      <c r="F50" s="18" t="n"/>
      <c r="G50" s="18" t="n"/>
      <c r="H50" s="19" t="n"/>
      <c r="I50" s="18" t="n"/>
      <c r="J50" s="18" t="n"/>
      <c r="K50" s="18" t="n"/>
      <c r="L50" s="19" t="n"/>
      <c r="M50" s="21" t="n"/>
      <c r="N50" s="22" t="n"/>
      <c r="O50" s="21" t="n"/>
      <c r="P50" s="23">
        <f>IF(M50="","",IF(OR(M50="OOTB",M50="Konfigurace",M50="Custom vývoj"),IF(O50="","CHYBÍ odkaz FS","OK"),"N/A"))</f>
        <v/>
      </c>
      <c r="Q50" s="23">
        <f>IF(F50="Must",3,IF(F50="Should",2,IF(F50="Could",1,0)))</f>
        <v/>
      </c>
      <c r="R50" s="23">
        <f>IF(M50="","",IF(M50="OOTB",5,IF(M50="Konfigurace",3,IF(M50="Custom vývoj",1,IF(OR(M50="3rd party",M50="Nesplněno"),0,"")))))</f>
        <v/>
      </c>
      <c r="S50" s="24" t="n"/>
      <c r="T50" s="23">
        <f>IF(R50="","",IF(OR(P50="CHYBÍ odkaz FS",S50="Ne"),0,R50))</f>
        <v/>
      </c>
      <c r="U50" s="23">
        <f>IF(G50&lt;&gt;"Ano","",IF(M50="","",IF(OR(M50="Nesplněno",M50="3rd party",M50="Neakceptuje",S50="Ne",P50="CHYBÍ odkaz FS"),"FAIL",IF(M50="Akceptuje s výhradou","K VYJASNĚNÍ","PASS"))))</f>
        <v/>
      </c>
      <c r="V50" s="23">
        <f>IF(AND(J50="Byznys (30 %)",G50&lt;&gt;"Ano",ISNUMBER(T50)),T50*Q50,0)</f>
        <v/>
      </c>
      <c r="W50" s="23">
        <f>IF(AND(J50="Byznys (30 %)",G50&lt;&gt;"Ano",F50&lt;&gt;"Won't"),5*Q50,0)</f>
        <v/>
      </c>
      <c r="X50" s="25" t="n"/>
    </row>
    <row r="51">
      <c r="A51" s="18" t="n"/>
      <c r="B51" s="18" t="n"/>
      <c r="C51" s="19" t="n"/>
      <c r="D51" s="19" t="n"/>
      <c r="E51" s="18" t="n"/>
      <c r="F51" s="18" t="n"/>
      <c r="G51" s="18" t="n"/>
      <c r="H51" s="19" t="n"/>
      <c r="I51" s="18" t="n"/>
      <c r="J51" s="18" t="n"/>
      <c r="K51" s="18" t="n"/>
      <c r="L51" s="19" t="n"/>
      <c r="M51" s="21" t="n"/>
      <c r="N51" s="22" t="n"/>
      <c r="O51" s="21" t="n"/>
      <c r="P51" s="23">
        <f>IF(M51="","",IF(OR(M51="OOTB",M51="Konfigurace",M51="Custom vývoj"),IF(O51="","CHYBÍ odkaz FS","OK"),"N/A"))</f>
        <v/>
      </c>
      <c r="Q51" s="23">
        <f>IF(F51="Must",3,IF(F51="Should",2,IF(F51="Could",1,0)))</f>
        <v/>
      </c>
      <c r="R51" s="23">
        <f>IF(M51="","",IF(M51="OOTB",5,IF(M51="Konfigurace",3,IF(M51="Custom vývoj",1,IF(OR(M51="3rd party",M51="Nesplněno"),0,"")))))</f>
        <v/>
      </c>
      <c r="S51" s="24" t="n"/>
      <c r="T51" s="23">
        <f>IF(R51="","",IF(OR(P51="CHYBÍ odkaz FS",S51="Ne"),0,R51))</f>
        <v/>
      </c>
      <c r="U51" s="23">
        <f>IF(G51&lt;&gt;"Ano","",IF(M51="","",IF(OR(M51="Nesplněno",M51="3rd party",M51="Neakceptuje",S51="Ne",P51="CHYBÍ odkaz FS"),"FAIL",IF(M51="Akceptuje s výhradou","K VYJASNĚNÍ","PASS"))))</f>
        <v/>
      </c>
      <c r="V51" s="23">
        <f>IF(AND(J51="Byznys (30 %)",G51&lt;&gt;"Ano",ISNUMBER(T51)),T51*Q51,0)</f>
        <v/>
      </c>
      <c r="W51" s="23">
        <f>IF(AND(J51="Byznys (30 %)",G51&lt;&gt;"Ano",F51&lt;&gt;"Won't"),5*Q51,0)</f>
        <v/>
      </c>
      <c r="X51" s="25" t="n"/>
    </row>
    <row r="52">
      <c r="A52" s="18" t="n"/>
      <c r="B52" s="18" t="n"/>
      <c r="C52" s="19" t="n"/>
      <c r="D52" s="19" t="n"/>
      <c r="E52" s="18" t="n"/>
      <c r="F52" s="18" t="n"/>
      <c r="G52" s="18" t="n"/>
      <c r="H52" s="19" t="n"/>
      <c r="I52" s="18" t="n"/>
      <c r="J52" s="18" t="n"/>
      <c r="K52" s="18" t="n"/>
      <c r="L52" s="19" t="n"/>
      <c r="M52" s="21" t="n"/>
      <c r="N52" s="22" t="n"/>
      <c r="O52" s="21" t="n"/>
      <c r="P52" s="23">
        <f>IF(M52="","",IF(OR(M52="OOTB",M52="Konfigurace",M52="Custom vývoj"),IF(O52="","CHYBÍ odkaz FS","OK"),"N/A"))</f>
        <v/>
      </c>
      <c r="Q52" s="23">
        <f>IF(F52="Must",3,IF(F52="Should",2,IF(F52="Could",1,0)))</f>
        <v/>
      </c>
      <c r="R52" s="23">
        <f>IF(M52="","",IF(M52="OOTB",5,IF(M52="Konfigurace",3,IF(M52="Custom vývoj",1,IF(OR(M52="3rd party",M52="Nesplněno"),0,"")))))</f>
        <v/>
      </c>
      <c r="S52" s="24" t="n"/>
      <c r="T52" s="23">
        <f>IF(R52="","",IF(OR(P52="CHYBÍ odkaz FS",S52="Ne"),0,R52))</f>
        <v/>
      </c>
      <c r="U52" s="23">
        <f>IF(G52&lt;&gt;"Ano","",IF(M52="","",IF(OR(M52="Nesplněno",M52="3rd party",M52="Neakceptuje",S52="Ne",P52="CHYBÍ odkaz FS"),"FAIL",IF(M52="Akceptuje s výhradou","K VYJASNĚNÍ","PASS"))))</f>
        <v/>
      </c>
      <c r="V52" s="23">
        <f>IF(AND(J52="Byznys (30 %)",G52&lt;&gt;"Ano",ISNUMBER(T52)),T52*Q52,0)</f>
        <v/>
      </c>
      <c r="W52" s="23">
        <f>IF(AND(J52="Byznys (30 %)",G52&lt;&gt;"Ano",F52&lt;&gt;"Won't"),5*Q52,0)</f>
        <v/>
      </c>
      <c r="X52" s="25" t="n"/>
    </row>
    <row r="53">
      <c r="A53" s="18" t="n"/>
      <c r="B53" s="18" t="n"/>
      <c r="C53" s="19" t="n"/>
      <c r="D53" s="19" t="n"/>
      <c r="E53" s="18" t="n"/>
      <c r="F53" s="18" t="n"/>
      <c r="G53" s="18" t="n"/>
      <c r="H53" s="19" t="n"/>
      <c r="I53" s="18" t="n"/>
      <c r="J53" s="18" t="n"/>
      <c r="K53" s="18" t="n"/>
      <c r="L53" s="19" t="n"/>
      <c r="M53" s="21" t="n"/>
      <c r="N53" s="22" t="n"/>
      <c r="O53" s="21" t="n"/>
      <c r="P53" s="23">
        <f>IF(M53="","",IF(OR(M53="OOTB",M53="Konfigurace",M53="Custom vývoj"),IF(O53="","CHYBÍ odkaz FS","OK"),"N/A"))</f>
        <v/>
      </c>
      <c r="Q53" s="23">
        <f>IF(F53="Must",3,IF(F53="Should",2,IF(F53="Could",1,0)))</f>
        <v/>
      </c>
      <c r="R53" s="23">
        <f>IF(M53="","",IF(M53="OOTB",5,IF(M53="Konfigurace",3,IF(M53="Custom vývoj",1,IF(OR(M53="3rd party",M53="Nesplněno"),0,"")))))</f>
        <v/>
      </c>
      <c r="S53" s="24" t="n"/>
      <c r="T53" s="23">
        <f>IF(R53="","",IF(OR(P53="CHYBÍ odkaz FS",S53="Ne"),0,R53))</f>
        <v/>
      </c>
      <c r="U53" s="23">
        <f>IF(G53&lt;&gt;"Ano","",IF(M53="","",IF(OR(M53="Nesplněno",M53="3rd party",M53="Neakceptuje",S53="Ne",P53="CHYBÍ odkaz FS"),"FAIL",IF(M53="Akceptuje s výhradou","K VYJASNĚNÍ","PASS"))))</f>
        <v/>
      </c>
      <c r="V53" s="23">
        <f>IF(AND(J53="Byznys (30 %)",G53&lt;&gt;"Ano",ISNUMBER(T53)),T53*Q53,0)</f>
        <v/>
      </c>
      <c r="W53" s="23">
        <f>IF(AND(J53="Byznys (30 %)",G53&lt;&gt;"Ano",F53&lt;&gt;"Won't"),5*Q53,0)</f>
        <v/>
      </c>
      <c r="X53" s="25" t="n"/>
    </row>
    <row r="54">
      <c r="A54" s="18" t="n"/>
      <c r="B54" s="18" t="n"/>
      <c r="C54" s="19" t="n"/>
      <c r="D54" s="19" t="n"/>
      <c r="E54" s="18" t="n"/>
      <c r="F54" s="18" t="n"/>
      <c r="G54" s="18" t="n"/>
      <c r="H54" s="19" t="n"/>
      <c r="I54" s="18" t="n"/>
      <c r="J54" s="18" t="n"/>
      <c r="K54" s="18" t="n"/>
      <c r="L54" s="19" t="n"/>
      <c r="M54" s="21" t="n"/>
      <c r="N54" s="22" t="n"/>
      <c r="O54" s="21" t="n"/>
      <c r="P54" s="23">
        <f>IF(M54="","",IF(OR(M54="OOTB",M54="Konfigurace",M54="Custom vývoj"),IF(O54="","CHYBÍ odkaz FS","OK"),"N/A"))</f>
        <v/>
      </c>
      <c r="Q54" s="23">
        <f>IF(F54="Must",3,IF(F54="Should",2,IF(F54="Could",1,0)))</f>
        <v/>
      </c>
      <c r="R54" s="23">
        <f>IF(M54="","",IF(M54="OOTB",5,IF(M54="Konfigurace",3,IF(M54="Custom vývoj",1,IF(OR(M54="3rd party",M54="Nesplněno"),0,"")))))</f>
        <v/>
      </c>
      <c r="S54" s="24" t="n"/>
      <c r="T54" s="23">
        <f>IF(R54="","",IF(OR(P54="CHYBÍ odkaz FS",S54="Ne"),0,R54))</f>
        <v/>
      </c>
      <c r="U54" s="23">
        <f>IF(G54&lt;&gt;"Ano","",IF(M54="","",IF(OR(M54="Nesplněno",M54="3rd party",M54="Neakceptuje",S54="Ne",P54="CHYBÍ odkaz FS"),"FAIL",IF(M54="Akceptuje s výhradou","K VYJASNĚNÍ","PASS"))))</f>
        <v/>
      </c>
      <c r="V54" s="23">
        <f>IF(AND(J54="Byznys (30 %)",G54&lt;&gt;"Ano",ISNUMBER(T54)),T54*Q54,0)</f>
        <v/>
      </c>
      <c r="W54" s="23">
        <f>IF(AND(J54="Byznys (30 %)",G54&lt;&gt;"Ano",F54&lt;&gt;"Won't"),5*Q54,0)</f>
        <v/>
      </c>
      <c r="X54" s="25" t="n"/>
    </row>
    <row r="55">
      <c r="A55" s="18" t="n"/>
      <c r="B55" s="18" t="n"/>
      <c r="C55" s="19" t="n"/>
      <c r="D55" s="19" t="n"/>
      <c r="E55" s="18" t="n"/>
      <c r="F55" s="18" t="n"/>
      <c r="G55" s="18" t="n"/>
      <c r="H55" s="19" t="n"/>
      <c r="I55" s="18" t="n"/>
      <c r="J55" s="18" t="n"/>
      <c r="K55" s="18" t="n"/>
      <c r="L55" s="19" t="n"/>
      <c r="M55" s="21" t="n"/>
      <c r="N55" s="22" t="n"/>
      <c r="O55" s="21" t="n"/>
      <c r="P55" s="23">
        <f>IF(M55="","",IF(OR(M55="OOTB",M55="Konfigurace",M55="Custom vývoj"),IF(O55="","CHYBÍ odkaz FS","OK"),"N/A"))</f>
        <v/>
      </c>
      <c r="Q55" s="23">
        <f>IF(F55="Must",3,IF(F55="Should",2,IF(F55="Could",1,0)))</f>
        <v/>
      </c>
      <c r="R55" s="23">
        <f>IF(M55="","",IF(M55="OOTB",5,IF(M55="Konfigurace",3,IF(M55="Custom vývoj",1,IF(OR(M55="3rd party",M55="Nesplněno"),0,"")))))</f>
        <v/>
      </c>
      <c r="S55" s="24" t="n"/>
      <c r="T55" s="23">
        <f>IF(R55="","",IF(OR(P55="CHYBÍ odkaz FS",S55="Ne"),0,R55))</f>
        <v/>
      </c>
      <c r="U55" s="23">
        <f>IF(G55&lt;&gt;"Ano","",IF(M55="","",IF(OR(M55="Nesplněno",M55="3rd party",M55="Neakceptuje",S55="Ne",P55="CHYBÍ odkaz FS"),"FAIL",IF(M55="Akceptuje s výhradou","K VYJASNĚNÍ","PASS"))))</f>
        <v/>
      </c>
      <c r="V55" s="23">
        <f>IF(AND(J55="Byznys (30 %)",G55&lt;&gt;"Ano",ISNUMBER(T55)),T55*Q55,0)</f>
        <v/>
      </c>
      <c r="W55" s="23">
        <f>IF(AND(J55="Byznys (30 %)",G55&lt;&gt;"Ano",F55&lt;&gt;"Won't"),5*Q55,0)</f>
        <v/>
      </c>
      <c r="X55" s="25" t="n"/>
    </row>
    <row r="56">
      <c r="A56" s="18" t="n"/>
      <c r="B56" s="18" t="n"/>
      <c r="C56" s="19" t="n"/>
      <c r="D56" s="19" t="n"/>
      <c r="E56" s="18" t="n"/>
      <c r="F56" s="18" t="n"/>
      <c r="G56" s="18" t="n"/>
      <c r="H56" s="19" t="n"/>
      <c r="I56" s="18" t="n"/>
      <c r="J56" s="18" t="n"/>
      <c r="K56" s="18" t="n"/>
      <c r="L56" s="19" t="n"/>
      <c r="M56" s="21" t="n"/>
      <c r="N56" s="22" t="n"/>
      <c r="O56" s="21" t="n"/>
      <c r="P56" s="23">
        <f>IF(M56="","",IF(OR(M56="OOTB",M56="Konfigurace",M56="Custom vývoj"),IF(O56="","CHYBÍ odkaz FS","OK"),"N/A"))</f>
        <v/>
      </c>
      <c r="Q56" s="23">
        <f>IF(F56="Must",3,IF(F56="Should",2,IF(F56="Could",1,0)))</f>
        <v/>
      </c>
      <c r="R56" s="23">
        <f>IF(M56="","",IF(M56="OOTB",5,IF(M56="Konfigurace",3,IF(M56="Custom vývoj",1,IF(OR(M56="3rd party",M56="Nesplněno"),0,"")))))</f>
        <v/>
      </c>
      <c r="S56" s="24" t="n"/>
      <c r="T56" s="23">
        <f>IF(R56="","",IF(OR(P56="CHYBÍ odkaz FS",S56="Ne"),0,R56))</f>
        <v/>
      </c>
      <c r="U56" s="23">
        <f>IF(G56&lt;&gt;"Ano","",IF(M56="","",IF(OR(M56="Nesplněno",M56="3rd party",M56="Neakceptuje",S56="Ne",P56="CHYBÍ odkaz FS"),"FAIL",IF(M56="Akceptuje s výhradou","K VYJASNĚNÍ","PASS"))))</f>
        <v/>
      </c>
      <c r="V56" s="23">
        <f>IF(AND(J56="Byznys (30 %)",G56&lt;&gt;"Ano",ISNUMBER(T56)),T56*Q56,0)</f>
        <v/>
      </c>
      <c r="W56" s="23">
        <f>IF(AND(J56="Byznys (30 %)",G56&lt;&gt;"Ano",F56&lt;&gt;"Won't"),5*Q56,0)</f>
        <v/>
      </c>
      <c r="X56" s="25" t="n"/>
    </row>
    <row r="57">
      <c r="A57" s="18" t="n"/>
      <c r="B57" s="18" t="n"/>
      <c r="C57" s="19" t="n"/>
      <c r="D57" s="19" t="n"/>
      <c r="E57" s="18" t="n"/>
      <c r="F57" s="18" t="n"/>
      <c r="G57" s="18" t="n"/>
      <c r="H57" s="19" t="n"/>
      <c r="I57" s="18" t="n"/>
      <c r="J57" s="18" t="n"/>
      <c r="K57" s="18" t="n"/>
      <c r="L57" s="19" t="n"/>
      <c r="M57" s="21" t="n"/>
      <c r="N57" s="22" t="n"/>
      <c r="O57" s="21" t="n"/>
      <c r="P57" s="23">
        <f>IF(M57="","",IF(OR(M57="OOTB",M57="Konfigurace",M57="Custom vývoj"),IF(O57="","CHYBÍ odkaz FS","OK"),"N/A"))</f>
        <v/>
      </c>
      <c r="Q57" s="23">
        <f>IF(F57="Must",3,IF(F57="Should",2,IF(F57="Could",1,0)))</f>
        <v/>
      </c>
      <c r="R57" s="23">
        <f>IF(M57="","",IF(M57="OOTB",5,IF(M57="Konfigurace",3,IF(M57="Custom vývoj",1,IF(OR(M57="3rd party",M57="Nesplněno"),0,"")))))</f>
        <v/>
      </c>
      <c r="S57" s="24" t="n"/>
      <c r="T57" s="23">
        <f>IF(R57="","",IF(OR(P57="CHYBÍ odkaz FS",S57="Ne"),0,R57))</f>
        <v/>
      </c>
      <c r="U57" s="23">
        <f>IF(G57&lt;&gt;"Ano","",IF(M57="","",IF(OR(M57="Nesplněno",M57="3rd party",M57="Neakceptuje",S57="Ne",P57="CHYBÍ odkaz FS"),"FAIL",IF(M57="Akceptuje s výhradou","K VYJASNĚNÍ","PASS"))))</f>
        <v/>
      </c>
      <c r="V57" s="23">
        <f>IF(AND(J57="Byznys (30 %)",G57&lt;&gt;"Ano",ISNUMBER(T57)),T57*Q57,0)</f>
        <v/>
      </c>
      <c r="W57" s="23">
        <f>IF(AND(J57="Byznys (30 %)",G57&lt;&gt;"Ano",F57&lt;&gt;"Won't"),5*Q57,0)</f>
        <v/>
      </c>
      <c r="X57" s="25" t="n"/>
    </row>
    <row r="58">
      <c r="A58" s="18" t="n"/>
      <c r="B58" s="18" t="n"/>
      <c r="C58" s="19" t="n"/>
      <c r="D58" s="19" t="n"/>
      <c r="E58" s="18" t="n"/>
      <c r="F58" s="18" t="n"/>
      <c r="G58" s="18" t="n"/>
      <c r="H58" s="19" t="n"/>
      <c r="I58" s="18" t="n"/>
      <c r="J58" s="18" t="n"/>
      <c r="K58" s="18" t="n"/>
      <c r="L58" s="19" t="n"/>
      <c r="M58" s="21" t="n"/>
      <c r="N58" s="22" t="n"/>
      <c r="O58" s="21" t="n"/>
      <c r="P58" s="23">
        <f>IF(M58="","",IF(OR(M58="OOTB",M58="Konfigurace",M58="Custom vývoj"),IF(O58="","CHYBÍ odkaz FS","OK"),"N/A"))</f>
        <v/>
      </c>
      <c r="Q58" s="23">
        <f>IF(F58="Must",3,IF(F58="Should",2,IF(F58="Could",1,0)))</f>
        <v/>
      </c>
      <c r="R58" s="23">
        <f>IF(M58="","",IF(M58="OOTB",5,IF(M58="Konfigurace",3,IF(M58="Custom vývoj",1,IF(OR(M58="3rd party",M58="Nesplněno"),0,"")))))</f>
        <v/>
      </c>
      <c r="S58" s="24" t="n"/>
      <c r="T58" s="23">
        <f>IF(R58="","",IF(OR(P58="CHYBÍ odkaz FS",S58="Ne"),0,R58))</f>
        <v/>
      </c>
      <c r="U58" s="23">
        <f>IF(G58&lt;&gt;"Ano","",IF(M58="","",IF(OR(M58="Nesplněno",M58="3rd party",M58="Neakceptuje",S58="Ne",P58="CHYBÍ odkaz FS"),"FAIL",IF(M58="Akceptuje s výhradou","K VYJASNĚNÍ","PASS"))))</f>
        <v/>
      </c>
      <c r="V58" s="23">
        <f>IF(AND(J58="Byznys (30 %)",G58&lt;&gt;"Ano",ISNUMBER(T58)),T58*Q58,0)</f>
        <v/>
      </c>
      <c r="W58" s="23">
        <f>IF(AND(J58="Byznys (30 %)",G58&lt;&gt;"Ano",F58&lt;&gt;"Won't"),5*Q58,0)</f>
        <v/>
      </c>
      <c r="X58" s="25" t="n"/>
    </row>
    <row r="59">
      <c r="A59" s="18" t="n"/>
      <c r="B59" s="18" t="n"/>
      <c r="C59" s="19" t="n"/>
      <c r="D59" s="19" t="n"/>
      <c r="E59" s="18" t="n"/>
      <c r="F59" s="18" t="n"/>
      <c r="G59" s="18" t="n"/>
      <c r="H59" s="19" t="n"/>
      <c r="I59" s="18" t="n"/>
      <c r="J59" s="18" t="n"/>
      <c r="K59" s="18" t="n"/>
      <c r="L59" s="19" t="n"/>
      <c r="M59" s="21" t="n"/>
      <c r="N59" s="22" t="n"/>
      <c r="O59" s="21" t="n"/>
      <c r="P59" s="23">
        <f>IF(M59="","",IF(OR(M59="OOTB",M59="Konfigurace",M59="Custom vývoj"),IF(O59="","CHYBÍ odkaz FS","OK"),"N/A"))</f>
        <v/>
      </c>
      <c r="Q59" s="23">
        <f>IF(F59="Must",3,IF(F59="Should",2,IF(F59="Could",1,0)))</f>
        <v/>
      </c>
      <c r="R59" s="23">
        <f>IF(M59="","",IF(M59="OOTB",5,IF(M59="Konfigurace",3,IF(M59="Custom vývoj",1,IF(OR(M59="3rd party",M59="Nesplněno"),0,"")))))</f>
        <v/>
      </c>
      <c r="S59" s="24" t="n"/>
      <c r="T59" s="23">
        <f>IF(R59="","",IF(OR(P59="CHYBÍ odkaz FS",S59="Ne"),0,R59))</f>
        <v/>
      </c>
      <c r="U59" s="23">
        <f>IF(G59&lt;&gt;"Ano","",IF(M59="","",IF(OR(M59="Nesplněno",M59="3rd party",M59="Neakceptuje",S59="Ne",P59="CHYBÍ odkaz FS"),"FAIL",IF(M59="Akceptuje s výhradou","K VYJASNĚNÍ","PASS"))))</f>
        <v/>
      </c>
      <c r="V59" s="23">
        <f>IF(AND(J59="Byznys (30 %)",G59&lt;&gt;"Ano",ISNUMBER(T59)),T59*Q59,0)</f>
        <v/>
      </c>
      <c r="W59" s="23">
        <f>IF(AND(J59="Byznys (30 %)",G59&lt;&gt;"Ano",F59&lt;&gt;"Won't"),5*Q59,0)</f>
        <v/>
      </c>
      <c r="X59" s="25" t="n"/>
    </row>
    <row r="60">
      <c r="A60" s="18" t="n"/>
      <c r="B60" s="18" t="n"/>
      <c r="C60" s="19" t="n"/>
      <c r="D60" s="19" t="n"/>
      <c r="E60" s="18" t="n"/>
      <c r="F60" s="18" t="n"/>
      <c r="G60" s="18" t="n"/>
      <c r="H60" s="19" t="n"/>
      <c r="I60" s="18" t="n"/>
      <c r="J60" s="18" t="n"/>
      <c r="K60" s="18" t="n"/>
      <c r="L60" s="19" t="n"/>
      <c r="M60" s="21" t="n"/>
      <c r="N60" s="22" t="n"/>
      <c r="O60" s="21" t="n"/>
      <c r="P60" s="23">
        <f>IF(M60="","",IF(OR(M60="OOTB",M60="Konfigurace",M60="Custom vývoj"),IF(O60="","CHYBÍ odkaz FS","OK"),"N/A"))</f>
        <v/>
      </c>
      <c r="Q60" s="23">
        <f>IF(F60="Must",3,IF(F60="Should",2,IF(F60="Could",1,0)))</f>
        <v/>
      </c>
      <c r="R60" s="23">
        <f>IF(M60="","",IF(M60="OOTB",5,IF(M60="Konfigurace",3,IF(M60="Custom vývoj",1,IF(OR(M60="3rd party",M60="Nesplněno"),0,"")))))</f>
        <v/>
      </c>
      <c r="S60" s="24" t="n"/>
      <c r="T60" s="23">
        <f>IF(R60="","",IF(OR(P60="CHYBÍ odkaz FS",S60="Ne"),0,R60))</f>
        <v/>
      </c>
      <c r="U60" s="23">
        <f>IF(G60&lt;&gt;"Ano","",IF(M60="","",IF(OR(M60="Nesplněno",M60="3rd party",M60="Neakceptuje",S60="Ne",P60="CHYBÍ odkaz FS"),"FAIL",IF(M60="Akceptuje s výhradou","K VYJASNĚNÍ","PASS"))))</f>
        <v/>
      </c>
      <c r="V60" s="23">
        <f>IF(AND(J60="Byznys (30 %)",G60&lt;&gt;"Ano",ISNUMBER(T60)),T60*Q60,0)</f>
        <v/>
      </c>
      <c r="W60" s="23">
        <f>IF(AND(J60="Byznys (30 %)",G60&lt;&gt;"Ano",F60&lt;&gt;"Won't"),5*Q60,0)</f>
        <v/>
      </c>
      <c r="X60" s="25" t="n"/>
    </row>
    <row r="61">
      <c r="A61" s="18" t="n"/>
      <c r="B61" s="18" t="n"/>
      <c r="C61" s="19" t="n"/>
      <c r="D61" s="19" t="n"/>
      <c r="E61" s="18" t="n"/>
      <c r="F61" s="18" t="n"/>
      <c r="G61" s="18" t="n"/>
      <c r="H61" s="19" t="n"/>
      <c r="I61" s="18" t="n"/>
      <c r="J61" s="18" t="n"/>
      <c r="K61" s="18" t="n"/>
      <c r="L61" s="19" t="n"/>
      <c r="M61" s="21" t="n"/>
      <c r="N61" s="22" t="n"/>
      <c r="O61" s="21" t="n"/>
      <c r="P61" s="23">
        <f>IF(M61="","",IF(OR(M61="OOTB",M61="Konfigurace",M61="Custom vývoj"),IF(O61="","CHYBÍ odkaz FS","OK"),"N/A"))</f>
        <v/>
      </c>
      <c r="Q61" s="23">
        <f>IF(F61="Must",3,IF(F61="Should",2,IF(F61="Could",1,0)))</f>
        <v/>
      </c>
      <c r="R61" s="23">
        <f>IF(M61="","",IF(M61="OOTB",5,IF(M61="Konfigurace",3,IF(M61="Custom vývoj",1,IF(OR(M61="3rd party",M61="Nesplněno"),0,"")))))</f>
        <v/>
      </c>
      <c r="S61" s="24" t="n"/>
      <c r="T61" s="23">
        <f>IF(R61="","",IF(OR(P61="CHYBÍ odkaz FS",S61="Ne"),0,R61))</f>
        <v/>
      </c>
      <c r="U61" s="23">
        <f>IF(G61&lt;&gt;"Ano","",IF(M61="","",IF(OR(M61="Nesplněno",M61="3rd party",M61="Neakceptuje",S61="Ne",P61="CHYBÍ odkaz FS"),"FAIL",IF(M61="Akceptuje s výhradou","K VYJASNĚNÍ","PASS"))))</f>
        <v/>
      </c>
      <c r="V61" s="23">
        <f>IF(AND(J61="Byznys (30 %)",G61&lt;&gt;"Ano",ISNUMBER(T61)),T61*Q61,0)</f>
        <v/>
      </c>
      <c r="W61" s="23">
        <f>IF(AND(J61="Byznys (30 %)",G61&lt;&gt;"Ano",F61&lt;&gt;"Won't"),5*Q61,0)</f>
        <v/>
      </c>
      <c r="X61" s="25" t="n"/>
    </row>
    <row r="62">
      <c r="A62" s="18" t="n"/>
      <c r="B62" s="18" t="n"/>
      <c r="C62" s="19" t="n"/>
      <c r="D62" s="19" t="n"/>
      <c r="E62" s="18" t="n"/>
      <c r="F62" s="18" t="n"/>
      <c r="G62" s="18" t="n"/>
      <c r="H62" s="19" t="n"/>
      <c r="I62" s="18" t="n"/>
      <c r="J62" s="18" t="n"/>
      <c r="K62" s="18" t="n"/>
      <c r="L62" s="19" t="n"/>
      <c r="M62" s="21" t="n"/>
      <c r="N62" s="22" t="n"/>
      <c r="O62" s="21" t="n"/>
      <c r="P62" s="23">
        <f>IF(M62="","",IF(OR(M62="OOTB",M62="Konfigurace",M62="Custom vývoj"),IF(O62="","CHYBÍ odkaz FS","OK"),"N/A"))</f>
        <v/>
      </c>
      <c r="Q62" s="23">
        <f>IF(F62="Must",3,IF(F62="Should",2,IF(F62="Could",1,0)))</f>
        <v/>
      </c>
      <c r="R62" s="23">
        <f>IF(M62="","",IF(M62="OOTB",5,IF(M62="Konfigurace",3,IF(M62="Custom vývoj",1,IF(OR(M62="3rd party",M62="Nesplněno"),0,"")))))</f>
        <v/>
      </c>
      <c r="S62" s="24" t="n"/>
      <c r="T62" s="23">
        <f>IF(R62="","",IF(OR(P62="CHYBÍ odkaz FS",S62="Ne"),0,R62))</f>
        <v/>
      </c>
      <c r="U62" s="23">
        <f>IF(G62&lt;&gt;"Ano","",IF(M62="","",IF(OR(M62="Nesplněno",M62="3rd party",M62="Neakceptuje",S62="Ne",P62="CHYBÍ odkaz FS"),"FAIL",IF(M62="Akceptuje s výhradou","K VYJASNĚNÍ","PASS"))))</f>
        <v/>
      </c>
      <c r="V62" s="23">
        <f>IF(AND(J62="Byznys (30 %)",G62&lt;&gt;"Ano",ISNUMBER(T62)),T62*Q62,0)</f>
        <v/>
      </c>
      <c r="W62" s="23">
        <f>IF(AND(J62="Byznys (30 %)",G62&lt;&gt;"Ano",F62&lt;&gt;"Won't"),5*Q62,0)</f>
        <v/>
      </c>
      <c r="X62" s="25" t="n"/>
    </row>
    <row r="63">
      <c r="A63" s="18" t="n"/>
      <c r="B63" s="18" t="n"/>
      <c r="C63" s="19" t="n"/>
      <c r="D63" s="19" t="n"/>
      <c r="E63" s="18" t="n"/>
      <c r="F63" s="18" t="n"/>
      <c r="G63" s="18" t="n"/>
      <c r="H63" s="19" t="n"/>
      <c r="I63" s="18" t="n"/>
      <c r="J63" s="18" t="n"/>
      <c r="K63" s="18" t="n"/>
      <c r="L63" s="19" t="n"/>
      <c r="M63" s="21" t="n"/>
      <c r="N63" s="22" t="n"/>
      <c r="O63" s="21" t="n"/>
      <c r="P63" s="23">
        <f>IF(M63="","",IF(OR(M63="OOTB",M63="Konfigurace",M63="Custom vývoj"),IF(O63="","CHYBÍ odkaz FS","OK"),"N/A"))</f>
        <v/>
      </c>
      <c r="Q63" s="23">
        <f>IF(F63="Must",3,IF(F63="Should",2,IF(F63="Could",1,0)))</f>
        <v/>
      </c>
      <c r="R63" s="23">
        <f>IF(M63="","",IF(M63="OOTB",5,IF(M63="Konfigurace",3,IF(M63="Custom vývoj",1,IF(OR(M63="3rd party",M63="Nesplněno"),0,"")))))</f>
        <v/>
      </c>
      <c r="S63" s="24" t="n"/>
      <c r="T63" s="23">
        <f>IF(R63="","",IF(OR(P63="CHYBÍ odkaz FS",S63="Ne"),0,R63))</f>
        <v/>
      </c>
      <c r="U63" s="23">
        <f>IF(G63&lt;&gt;"Ano","",IF(M63="","",IF(OR(M63="Nesplněno",M63="3rd party",M63="Neakceptuje",S63="Ne",P63="CHYBÍ odkaz FS"),"FAIL",IF(M63="Akceptuje s výhradou","K VYJASNĚNÍ","PASS"))))</f>
        <v/>
      </c>
      <c r="V63" s="23">
        <f>IF(AND(J63="Byznys (30 %)",G63&lt;&gt;"Ano",ISNUMBER(T63)),T63*Q63,0)</f>
        <v/>
      </c>
      <c r="W63" s="23">
        <f>IF(AND(J63="Byznys (30 %)",G63&lt;&gt;"Ano",F63&lt;&gt;"Won't"),5*Q63,0)</f>
        <v/>
      </c>
      <c r="X63" s="25" t="n"/>
    </row>
    <row r="64">
      <c r="A64" s="18" t="n"/>
      <c r="B64" s="18" t="n"/>
      <c r="C64" s="19" t="n"/>
      <c r="D64" s="19" t="n"/>
      <c r="E64" s="18" t="n"/>
      <c r="F64" s="18" t="n"/>
      <c r="G64" s="18" t="n"/>
      <c r="H64" s="19" t="n"/>
      <c r="I64" s="18" t="n"/>
      <c r="J64" s="18" t="n"/>
      <c r="K64" s="18" t="n"/>
      <c r="L64" s="19" t="n"/>
      <c r="M64" s="21" t="n"/>
      <c r="N64" s="22" t="n"/>
      <c r="O64" s="21" t="n"/>
      <c r="P64" s="23">
        <f>IF(M64="","",IF(OR(M64="OOTB",M64="Konfigurace",M64="Custom vývoj"),IF(O64="","CHYBÍ odkaz FS","OK"),"N/A"))</f>
        <v/>
      </c>
      <c r="Q64" s="23">
        <f>IF(F64="Must",3,IF(F64="Should",2,IF(F64="Could",1,0)))</f>
        <v/>
      </c>
      <c r="R64" s="23">
        <f>IF(M64="","",IF(M64="OOTB",5,IF(M64="Konfigurace",3,IF(M64="Custom vývoj",1,IF(OR(M64="3rd party",M64="Nesplněno"),0,"")))))</f>
        <v/>
      </c>
      <c r="S64" s="24" t="n"/>
      <c r="T64" s="23">
        <f>IF(R64="","",IF(OR(P64="CHYBÍ odkaz FS",S64="Ne"),0,R64))</f>
        <v/>
      </c>
      <c r="U64" s="23">
        <f>IF(G64&lt;&gt;"Ano","",IF(M64="","",IF(OR(M64="Nesplněno",M64="3rd party",M64="Neakceptuje",S64="Ne",P64="CHYBÍ odkaz FS"),"FAIL",IF(M64="Akceptuje s výhradou","K VYJASNĚNÍ","PASS"))))</f>
        <v/>
      </c>
      <c r="V64" s="23">
        <f>IF(AND(J64="Byznys (30 %)",G64&lt;&gt;"Ano",ISNUMBER(T64)),T64*Q64,0)</f>
        <v/>
      </c>
      <c r="W64" s="23">
        <f>IF(AND(J64="Byznys (30 %)",G64&lt;&gt;"Ano",F64&lt;&gt;"Won't"),5*Q64,0)</f>
        <v/>
      </c>
      <c r="X64" s="25" t="n"/>
    </row>
    <row r="65">
      <c r="A65" s="18" t="n"/>
      <c r="B65" s="18" t="n"/>
      <c r="C65" s="19" t="n"/>
      <c r="D65" s="19" t="n"/>
      <c r="E65" s="18" t="n"/>
      <c r="F65" s="18" t="n"/>
      <c r="G65" s="18" t="n"/>
      <c r="H65" s="19" t="n"/>
      <c r="I65" s="18" t="n"/>
      <c r="J65" s="18" t="n"/>
      <c r="K65" s="18" t="n"/>
      <c r="L65" s="19" t="n"/>
      <c r="M65" s="21" t="n"/>
      <c r="N65" s="22" t="n"/>
      <c r="O65" s="21" t="n"/>
      <c r="P65" s="23">
        <f>IF(M65="","",IF(OR(M65="OOTB",M65="Konfigurace",M65="Custom vývoj"),IF(O65="","CHYBÍ odkaz FS","OK"),"N/A"))</f>
        <v/>
      </c>
      <c r="Q65" s="23">
        <f>IF(F65="Must",3,IF(F65="Should",2,IF(F65="Could",1,0)))</f>
        <v/>
      </c>
      <c r="R65" s="23">
        <f>IF(M65="","",IF(M65="OOTB",5,IF(M65="Konfigurace",3,IF(M65="Custom vývoj",1,IF(OR(M65="3rd party",M65="Nesplněno"),0,"")))))</f>
        <v/>
      </c>
      <c r="S65" s="24" t="n"/>
      <c r="T65" s="23">
        <f>IF(R65="","",IF(OR(P65="CHYBÍ odkaz FS",S65="Ne"),0,R65))</f>
        <v/>
      </c>
      <c r="U65" s="23">
        <f>IF(G65&lt;&gt;"Ano","",IF(M65="","",IF(OR(M65="Nesplněno",M65="3rd party",M65="Neakceptuje",S65="Ne",P65="CHYBÍ odkaz FS"),"FAIL",IF(M65="Akceptuje s výhradou","K VYJASNĚNÍ","PASS"))))</f>
        <v/>
      </c>
      <c r="V65" s="23">
        <f>IF(AND(J65="Byznys (30 %)",G65&lt;&gt;"Ano",ISNUMBER(T65)),T65*Q65,0)</f>
        <v/>
      </c>
      <c r="W65" s="23">
        <f>IF(AND(J65="Byznys (30 %)",G65&lt;&gt;"Ano",F65&lt;&gt;"Won't"),5*Q65,0)</f>
        <v/>
      </c>
      <c r="X65" s="25" t="n"/>
    </row>
    <row r="66">
      <c r="A66" s="18" t="n"/>
      <c r="B66" s="18" t="n"/>
      <c r="C66" s="19" t="n"/>
      <c r="D66" s="19" t="n"/>
      <c r="E66" s="18" t="n"/>
      <c r="F66" s="18" t="n"/>
      <c r="G66" s="18" t="n"/>
      <c r="H66" s="19" t="n"/>
      <c r="I66" s="18" t="n"/>
      <c r="J66" s="18" t="n"/>
      <c r="K66" s="18" t="n"/>
      <c r="L66" s="19" t="n"/>
      <c r="M66" s="21" t="n"/>
      <c r="N66" s="22" t="n"/>
      <c r="O66" s="21" t="n"/>
      <c r="P66" s="23">
        <f>IF(M66="","",IF(OR(M66="OOTB",M66="Konfigurace",M66="Custom vývoj"),IF(O66="","CHYBÍ odkaz FS","OK"),"N/A"))</f>
        <v/>
      </c>
      <c r="Q66" s="23">
        <f>IF(F66="Must",3,IF(F66="Should",2,IF(F66="Could",1,0)))</f>
        <v/>
      </c>
      <c r="R66" s="23">
        <f>IF(M66="","",IF(M66="OOTB",5,IF(M66="Konfigurace",3,IF(M66="Custom vývoj",1,IF(OR(M66="3rd party",M66="Nesplněno"),0,"")))))</f>
        <v/>
      </c>
      <c r="S66" s="24" t="n"/>
      <c r="T66" s="23">
        <f>IF(R66="","",IF(OR(P66="CHYBÍ odkaz FS",S66="Ne"),0,R66))</f>
        <v/>
      </c>
      <c r="U66" s="23">
        <f>IF(G66&lt;&gt;"Ano","",IF(M66="","",IF(OR(M66="Nesplněno",M66="3rd party",M66="Neakceptuje",S66="Ne",P66="CHYBÍ odkaz FS"),"FAIL",IF(M66="Akceptuje s výhradou","K VYJASNĚNÍ","PASS"))))</f>
        <v/>
      </c>
      <c r="V66" s="23">
        <f>IF(AND(J66="Byznys (30 %)",G66&lt;&gt;"Ano",ISNUMBER(T66)),T66*Q66,0)</f>
        <v/>
      </c>
      <c r="W66" s="23">
        <f>IF(AND(J66="Byznys (30 %)",G66&lt;&gt;"Ano",F66&lt;&gt;"Won't"),5*Q66,0)</f>
        <v/>
      </c>
      <c r="X66" s="25" t="n"/>
    </row>
    <row r="67">
      <c r="A67" s="18" t="n"/>
      <c r="B67" s="18" t="n"/>
      <c r="C67" s="19" t="n"/>
      <c r="D67" s="19" t="n"/>
      <c r="E67" s="18" t="n"/>
      <c r="F67" s="18" t="n"/>
      <c r="G67" s="18" t="n"/>
      <c r="H67" s="19" t="n"/>
      <c r="I67" s="18" t="n"/>
      <c r="J67" s="18" t="n"/>
      <c r="K67" s="18" t="n"/>
      <c r="L67" s="19" t="n"/>
      <c r="M67" s="21" t="n"/>
      <c r="N67" s="22" t="n"/>
      <c r="O67" s="21" t="n"/>
      <c r="P67" s="23">
        <f>IF(M67="","",IF(OR(M67="OOTB",M67="Konfigurace",M67="Custom vývoj"),IF(O67="","CHYBÍ odkaz FS","OK"),"N/A"))</f>
        <v/>
      </c>
      <c r="Q67" s="23">
        <f>IF(F67="Must",3,IF(F67="Should",2,IF(F67="Could",1,0)))</f>
        <v/>
      </c>
      <c r="R67" s="23">
        <f>IF(M67="","",IF(M67="OOTB",5,IF(M67="Konfigurace",3,IF(M67="Custom vývoj",1,IF(OR(M67="3rd party",M67="Nesplněno"),0,"")))))</f>
        <v/>
      </c>
      <c r="S67" s="24" t="n"/>
      <c r="T67" s="23">
        <f>IF(R67="","",IF(OR(P67="CHYBÍ odkaz FS",S67="Ne"),0,R67))</f>
        <v/>
      </c>
      <c r="U67" s="23">
        <f>IF(G67&lt;&gt;"Ano","",IF(M67="","",IF(OR(M67="Nesplněno",M67="3rd party",M67="Neakceptuje",S67="Ne",P67="CHYBÍ odkaz FS"),"FAIL",IF(M67="Akceptuje s výhradou","K VYJASNĚNÍ","PASS"))))</f>
        <v/>
      </c>
      <c r="V67" s="23">
        <f>IF(AND(J67="Byznys (30 %)",G67&lt;&gt;"Ano",ISNUMBER(T67)),T67*Q67,0)</f>
        <v/>
      </c>
      <c r="W67" s="23">
        <f>IF(AND(J67="Byznys (30 %)",G67&lt;&gt;"Ano",F67&lt;&gt;"Won't"),5*Q67,0)</f>
        <v/>
      </c>
      <c r="X67" s="25" t="n"/>
    </row>
    <row r="68">
      <c r="A68" s="18" t="n"/>
      <c r="B68" s="18" t="n"/>
      <c r="C68" s="19" t="n"/>
      <c r="D68" s="19" t="n"/>
      <c r="E68" s="18" t="n"/>
      <c r="F68" s="18" t="n"/>
      <c r="G68" s="18" t="n"/>
      <c r="H68" s="19" t="n"/>
      <c r="I68" s="18" t="n"/>
      <c r="J68" s="18" t="n"/>
      <c r="K68" s="18" t="n"/>
      <c r="L68" s="19" t="n"/>
      <c r="M68" s="21" t="n"/>
      <c r="N68" s="22" t="n"/>
      <c r="O68" s="21" t="n"/>
      <c r="P68" s="23">
        <f>IF(M68="","",IF(OR(M68="OOTB",M68="Konfigurace",M68="Custom vývoj"),IF(O68="","CHYBÍ odkaz FS","OK"),"N/A"))</f>
        <v/>
      </c>
      <c r="Q68" s="23">
        <f>IF(F68="Must",3,IF(F68="Should",2,IF(F68="Could",1,0)))</f>
        <v/>
      </c>
      <c r="R68" s="23">
        <f>IF(M68="","",IF(M68="OOTB",5,IF(M68="Konfigurace",3,IF(M68="Custom vývoj",1,IF(OR(M68="3rd party",M68="Nesplněno"),0,"")))))</f>
        <v/>
      </c>
      <c r="S68" s="24" t="n"/>
      <c r="T68" s="23">
        <f>IF(R68="","",IF(OR(P68="CHYBÍ odkaz FS",S68="Ne"),0,R68))</f>
        <v/>
      </c>
      <c r="U68" s="23">
        <f>IF(G68&lt;&gt;"Ano","",IF(M68="","",IF(OR(M68="Nesplněno",M68="3rd party",M68="Neakceptuje",S68="Ne",P68="CHYBÍ odkaz FS"),"FAIL",IF(M68="Akceptuje s výhradou","K VYJASNĚNÍ","PASS"))))</f>
        <v/>
      </c>
      <c r="V68" s="23">
        <f>IF(AND(J68="Byznys (30 %)",G68&lt;&gt;"Ano",ISNUMBER(T68)),T68*Q68,0)</f>
        <v/>
      </c>
      <c r="W68" s="23">
        <f>IF(AND(J68="Byznys (30 %)",G68&lt;&gt;"Ano",F68&lt;&gt;"Won't"),5*Q68,0)</f>
        <v/>
      </c>
      <c r="X68" s="25" t="n"/>
    </row>
    <row r="69">
      <c r="A69" s="18" t="n"/>
      <c r="B69" s="18" t="n"/>
      <c r="C69" s="19" t="n"/>
      <c r="D69" s="19" t="n"/>
      <c r="E69" s="18" t="n"/>
      <c r="F69" s="18" t="n"/>
      <c r="G69" s="18" t="n"/>
      <c r="H69" s="19" t="n"/>
      <c r="I69" s="18" t="n"/>
      <c r="J69" s="18" t="n"/>
      <c r="K69" s="18" t="n"/>
      <c r="L69" s="19" t="n"/>
      <c r="M69" s="21" t="n"/>
      <c r="N69" s="22" t="n"/>
      <c r="O69" s="21" t="n"/>
      <c r="P69" s="23">
        <f>IF(M69="","",IF(OR(M69="OOTB",M69="Konfigurace",M69="Custom vývoj"),IF(O69="","CHYBÍ odkaz FS","OK"),"N/A"))</f>
        <v/>
      </c>
      <c r="Q69" s="23">
        <f>IF(F69="Must",3,IF(F69="Should",2,IF(F69="Could",1,0)))</f>
        <v/>
      </c>
      <c r="R69" s="23">
        <f>IF(M69="","",IF(M69="OOTB",5,IF(M69="Konfigurace",3,IF(M69="Custom vývoj",1,IF(OR(M69="3rd party",M69="Nesplněno"),0,"")))))</f>
        <v/>
      </c>
      <c r="S69" s="24" t="n"/>
      <c r="T69" s="23">
        <f>IF(R69="","",IF(OR(P69="CHYBÍ odkaz FS",S69="Ne"),0,R69))</f>
        <v/>
      </c>
      <c r="U69" s="23">
        <f>IF(G69&lt;&gt;"Ano","",IF(M69="","",IF(OR(M69="Nesplněno",M69="3rd party",M69="Neakceptuje",S69="Ne",P69="CHYBÍ odkaz FS"),"FAIL",IF(M69="Akceptuje s výhradou","K VYJASNĚNÍ","PASS"))))</f>
        <v/>
      </c>
      <c r="V69" s="23">
        <f>IF(AND(J69="Byznys (30 %)",G69&lt;&gt;"Ano",ISNUMBER(T69)),T69*Q69,0)</f>
        <v/>
      </c>
      <c r="W69" s="23">
        <f>IF(AND(J69="Byznys (30 %)",G69&lt;&gt;"Ano",F69&lt;&gt;"Won't"),5*Q69,0)</f>
        <v/>
      </c>
      <c r="X69" s="25" t="n"/>
    </row>
    <row r="70">
      <c r="A70" s="18" t="n"/>
      <c r="B70" s="18" t="n"/>
      <c r="C70" s="19" t="n"/>
      <c r="D70" s="19" t="n"/>
      <c r="E70" s="18" t="n"/>
      <c r="F70" s="18" t="n"/>
      <c r="G70" s="18" t="n"/>
      <c r="H70" s="19" t="n"/>
      <c r="I70" s="18" t="n"/>
      <c r="J70" s="18" t="n"/>
      <c r="K70" s="18" t="n"/>
      <c r="L70" s="19" t="n"/>
      <c r="M70" s="21" t="n"/>
      <c r="N70" s="22" t="n"/>
      <c r="O70" s="21" t="n"/>
      <c r="P70" s="23">
        <f>IF(M70="","",IF(OR(M70="OOTB",M70="Konfigurace",M70="Custom vývoj"),IF(O70="","CHYBÍ odkaz FS","OK"),"N/A"))</f>
        <v/>
      </c>
      <c r="Q70" s="23">
        <f>IF(F70="Must",3,IF(F70="Should",2,IF(F70="Could",1,0)))</f>
        <v/>
      </c>
      <c r="R70" s="23">
        <f>IF(M70="","",IF(M70="OOTB",5,IF(M70="Konfigurace",3,IF(M70="Custom vývoj",1,IF(OR(M70="3rd party",M70="Nesplněno"),0,"")))))</f>
        <v/>
      </c>
      <c r="S70" s="24" t="n"/>
      <c r="T70" s="23">
        <f>IF(R70="","",IF(OR(P70="CHYBÍ odkaz FS",S70="Ne"),0,R70))</f>
        <v/>
      </c>
      <c r="U70" s="23">
        <f>IF(G70&lt;&gt;"Ano","",IF(M70="","",IF(OR(M70="Nesplněno",M70="3rd party",M70="Neakceptuje",S70="Ne",P70="CHYBÍ odkaz FS"),"FAIL",IF(M70="Akceptuje s výhradou","K VYJASNĚNÍ","PASS"))))</f>
        <v/>
      </c>
      <c r="V70" s="23">
        <f>IF(AND(J70="Byznys (30 %)",G70&lt;&gt;"Ano",ISNUMBER(T70)),T70*Q70,0)</f>
        <v/>
      </c>
      <c r="W70" s="23">
        <f>IF(AND(J70="Byznys (30 %)",G70&lt;&gt;"Ano",F70&lt;&gt;"Won't"),5*Q70,0)</f>
        <v/>
      </c>
      <c r="X70" s="25" t="n"/>
    </row>
    <row r="71">
      <c r="A71" s="18" t="n"/>
      <c r="B71" s="18" t="n"/>
      <c r="C71" s="19" t="n"/>
      <c r="D71" s="19" t="n"/>
      <c r="E71" s="18" t="n"/>
      <c r="F71" s="18" t="n"/>
      <c r="G71" s="18" t="n"/>
      <c r="H71" s="19" t="n"/>
      <c r="I71" s="18" t="n"/>
      <c r="J71" s="18" t="n"/>
      <c r="K71" s="18" t="n"/>
      <c r="L71" s="19" t="n"/>
      <c r="M71" s="21" t="n"/>
      <c r="N71" s="22" t="n"/>
      <c r="O71" s="21" t="n"/>
      <c r="P71" s="23">
        <f>IF(M71="","",IF(OR(M71="OOTB",M71="Konfigurace",M71="Custom vývoj"),IF(O71="","CHYBÍ odkaz FS","OK"),"N/A"))</f>
        <v/>
      </c>
      <c r="Q71" s="23">
        <f>IF(F71="Must",3,IF(F71="Should",2,IF(F71="Could",1,0)))</f>
        <v/>
      </c>
      <c r="R71" s="23">
        <f>IF(M71="","",IF(M71="OOTB",5,IF(M71="Konfigurace",3,IF(M71="Custom vývoj",1,IF(OR(M71="3rd party",M71="Nesplněno"),0,"")))))</f>
        <v/>
      </c>
      <c r="S71" s="24" t="n"/>
      <c r="T71" s="23">
        <f>IF(R71="","",IF(OR(P71="CHYBÍ odkaz FS",S71="Ne"),0,R71))</f>
        <v/>
      </c>
      <c r="U71" s="23">
        <f>IF(G71&lt;&gt;"Ano","",IF(M71="","",IF(OR(M71="Nesplněno",M71="3rd party",M71="Neakceptuje",S71="Ne",P71="CHYBÍ odkaz FS"),"FAIL",IF(M71="Akceptuje s výhradou","K VYJASNĚNÍ","PASS"))))</f>
        <v/>
      </c>
      <c r="V71" s="23">
        <f>IF(AND(J71="Byznys (30 %)",G71&lt;&gt;"Ano",ISNUMBER(T71)),T71*Q71,0)</f>
        <v/>
      </c>
      <c r="W71" s="23">
        <f>IF(AND(J71="Byznys (30 %)",G71&lt;&gt;"Ano",F71&lt;&gt;"Won't"),5*Q71,0)</f>
        <v/>
      </c>
      <c r="X71" s="25" t="n"/>
    </row>
    <row r="72">
      <c r="A72" s="18" t="n"/>
      <c r="B72" s="18" t="n"/>
      <c r="C72" s="19" t="n"/>
      <c r="D72" s="19" t="n"/>
      <c r="E72" s="18" t="n"/>
      <c r="F72" s="18" t="n"/>
      <c r="G72" s="18" t="n"/>
      <c r="H72" s="19" t="n"/>
      <c r="I72" s="18" t="n"/>
      <c r="J72" s="18" t="n"/>
      <c r="K72" s="18" t="n"/>
      <c r="L72" s="19" t="n"/>
      <c r="M72" s="21" t="n"/>
      <c r="N72" s="22" t="n"/>
      <c r="O72" s="21" t="n"/>
      <c r="P72" s="23">
        <f>IF(M72="","",IF(OR(M72="OOTB",M72="Konfigurace",M72="Custom vývoj"),IF(O72="","CHYBÍ odkaz FS","OK"),"N/A"))</f>
        <v/>
      </c>
      <c r="Q72" s="23">
        <f>IF(F72="Must",3,IF(F72="Should",2,IF(F72="Could",1,0)))</f>
        <v/>
      </c>
      <c r="R72" s="23">
        <f>IF(M72="","",IF(M72="OOTB",5,IF(M72="Konfigurace",3,IF(M72="Custom vývoj",1,IF(OR(M72="3rd party",M72="Nesplněno"),0,"")))))</f>
        <v/>
      </c>
      <c r="S72" s="24" t="n"/>
      <c r="T72" s="23">
        <f>IF(R72="","",IF(OR(P72="CHYBÍ odkaz FS",S72="Ne"),0,R72))</f>
        <v/>
      </c>
      <c r="U72" s="23">
        <f>IF(G72&lt;&gt;"Ano","",IF(M72="","",IF(OR(M72="Nesplněno",M72="3rd party",M72="Neakceptuje",S72="Ne",P72="CHYBÍ odkaz FS"),"FAIL",IF(M72="Akceptuje s výhradou","K VYJASNĚNÍ","PASS"))))</f>
        <v/>
      </c>
      <c r="V72" s="23">
        <f>IF(AND(J72="Byznys (30 %)",G72&lt;&gt;"Ano",ISNUMBER(T72)),T72*Q72,0)</f>
        <v/>
      </c>
      <c r="W72" s="23">
        <f>IF(AND(J72="Byznys (30 %)",G72&lt;&gt;"Ano",F72&lt;&gt;"Won't"),5*Q72,0)</f>
        <v/>
      </c>
      <c r="X72" s="25" t="n"/>
    </row>
    <row r="73">
      <c r="A73" s="18" t="n"/>
      <c r="B73" s="18" t="n"/>
      <c r="C73" s="19" t="n"/>
      <c r="D73" s="19" t="n"/>
      <c r="E73" s="18" t="n"/>
      <c r="F73" s="18" t="n"/>
      <c r="G73" s="18" t="n"/>
      <c r="H73" s="19" t="n"/>
      <c r="I73" s="18" t="n"/>
      <c r="J73" s="18" t="n"/>
      <c r="K73" s="18" t="n"/>
      <c r="L73" s="19" t="n"/>
      <c r="M73" s="21" t="n"/>
      <c r="N73" s="22" t="n"/>
      <c r="O73" s="21" t="n"/>
      <c r="P73" s="23">
        <f>IF(M73="","",IF(OR(M73="OOTB",M73="Konfigurace",M73="Custom vývoj"),IF(O73="","CHYBÍ odkaz FS","OK"),"N/A"))</f>
        <v/>
      </c>
      <c r="Q73" s="23">
        <f>IF(F73="Must",3,IF(F73="Should",2,IF(F73="Could",1,0)))</f>
        <v/>
      </c>
      <c r="R73" s="23">
        <f>IF(M73="","",IF(M73="OOTB",5,IF(M73="Konfigurace",3,IF(M73="Custom vývoj",1,IF(OR(M73="3rd party",M73="Nesplněno"),0,"")))))</f>
        <v/>
      </c>
      <c r="S73" s="24" t="n"/>
      <c r="T73" s="23">
        <f>IF(R73="","",IF(OR(P73="CHYBÍ odkaz FS",S73="Ne"),0,R73))</f>
        <v/>
      </c>
      <c r="U73" s="23">
        <f>IF(G73&lt;&gt;"Ano","",IF(M73="","",IF(OR(M73="Nesplněno",M73="3rd party",M73="Neakceptuje",S73="Ne",P73="CHYBÍ odkaz FS"),"FAIL",IF(M73="Akceptuje s výhradou","K VYJASNĚNÍ","PASS"))))</f>
        <v/>
      </c>
      <c r="V73" s="23">
        <f>IF(AND(J73="Byznys (30 %)",G73&lt;&gt;"Ano",ISNUMBER(T73)),T73*Q73,0)</f>
        <v/>
      </c>
      <c r="W73" s="23">
        <f>IF(AND(J73="Byznys (30 %)",G73&lt;&gt;"Ano",F73&lt;&gt;"Won't"),5*Q73,0)</f>
        <v/>
      </c>
      <c r="X73" s="25" t="n"/>
    </row>
    <row r="74">
      <c r="A74" s="18" t="n"/>
      <c r="B74" s="18" t="n"/>
      <c r="C74" s="19" t="n"/>
      <c r="D74" s="19" t="n"/>
      <c r="E74" s="18" t="n"/>
      <c r="F74" s="18" t="n"/>
      <c r="G74" s="18" t="n"/>
      <c r="H74" s="19" t="n"/>
      <c r="I74" s="18" t="n"/>
      <c r="J74" s="18" t="n"/>
      <c r="K74" s="18" t="n"/>
      <c r="L74" s="19" t="n"/>
      <c r="M74" s="21" t="n"/>
      <c r="N74" s="22" t="n"/>
      <c r="O74" s="21" t="n"/>
      <c r="P74" s="23">
        <f>IF(M74="","",IF(OR(M74="OOTB",M74="Konfigurace",M74="Custom vývoj"),IF(O74="","CHYBÍ odkaz FS","OK"),"N/A"))</f>
        <v/>
      </c>
      <c r="Q74" s="23">
        <f>IF(F74="Must",3,IF(F74="Should",2,IF(F74="Could",1,0)))</f>
        <v/>
      </c>
      <c r="R74" s="23">
        <f>IF(M74="","",IF(M74="OOTB",5,IF(M74="Konfigurace",3,IF(M74="Custom vývoj",1,IF(OR(M74="3rd party",M74="Nesplněno"),0,"")))))</f>
        <v/>
      </c>
      <c r="S74" s="24" t="n"/>
      <c r="T74" s="23">
        <f>IF(R74="","",IF(OR(P74="CHYBÍ odkaz FS",S74="Ne"),0,R74))</f>
        <v/>
      </c>
      <c r="U74" s="23">
        <f>IF(G74&lt;&gt;"Ano","",IF(M74="","",IF(OR(M74="Nesplněno",M74="3rd party",M74="Neakceptuje",S74="Ne",P74="CHYBÍ odkaz FS"),"FAIL",IF(M74="Akceptuje s výhradou","K VYJASNĚNÍ","PASS"))))</f>
        <v/>
      </c>
      <c r="V74" s="23">
        <f>IF(AND(J74="Byznys (30 %)",G74&lt;&gt;"Ano",ISNUMBER(T74)),T74*Q74,0)</f>
        <v/>
      </c>
      <c r="W74" s="23">
        <f>IF(AND(J74="Byznys (30 %)",G74&lt;&gt;"Ano",F74&lt;&gt;"Won't"),5*Q74,0)</f>
        <v/>
      </c>
      <c r="X74" s="25" t="n"/>
    </row>
    <row r="75">
      <c r="A75" s="18" t="n"/>
      <c r="B75" s="18" t="n"/>
      <c r="C75" s="19" t="n"/>
      <c r="D75" s="19" t="n"/>
      <c r="E75" s="18" t="n"/>
      <c r="F75" s="18" t="n"/>
      <c r="G75" s="18" t="n"/>
      <c r="H75" s="19" t="n"/>
      <c r="I75" s="18" t="n"/>
      <c r="J75" s="18" t="n"/>
      <c r="K75" s="18" t="n"/>
      <c r="L75" s="19" t="n"/>
      <c r="M75" s="21" t="n"/>
      <c r="N75" s="22" t="n"/>
      <c r="O75" s="21" t="n"/>
      <c r="P75" s="23">
        <f>IF(M75="","",IF(OR(M75="OOTB",M75="Konfigurace",M75="Custom vývoj"),IF(O75="","CHYBÍ odkaz FS","OK"),"N/A"))</f>
        <v/>
      </c>
      <c r="Q75" s="23">
        <f>IF(F75="Must",3,IF(F75="Should",2,IF(F75="Could",1,0)))</f>
        <v/>
      </c>
      <c r="R75" s="23">
        <f>IF(M75="","",IF(M75="OOTB",5,IF(M75="Konfigurace",3,IF(M75="Custom vývoj",1,IF(OR(M75="3rd party",M75="Nesplněno"),0,"")))))</f>
        <v/>
      </c>
      <c r="S75" s="24" t="n"/>
      <c r="T75" s="23">
        <f>IF(R75="","",IF(OR(P75="CHYBÍ odkaz FS",S75="Ne"),0,R75))</f>
        <v/>
      </c>
      <c r="U75" s="23">
        <f>IF(G75&lt;&gt;"Ano","",IF(M75="","",IF(OR(M75="Nesplněno",M75="3rd party",M75="Neakceptuje",S75="Ne",P75="CHYBÍ odkaz FS"),"FAIL",IF(M75="Akceptuje s výhradou","K VYJASNĚNÍ","PASS"))))</f>
        <v/>
      </c>
      <c r="V75" s="23">
        <f>IF(AND(J75="Byznys (30 %)",G75&lt;&gt;"Ano",ISNUMBER(T75)),T75*Q75,0)</f>
        <v/>
      </c>
      <c r="W75" s="23">
        <f>IF(AND(J75="Byznys (30 %)",G75&lt;&gt;"Ano",F75&lt;&gt;"Won't"),5*Q75,0)</f>
        <v/>
      </c>
      <c r="X75" s="25" t="n"/>
    </row>
    <row r="76">
      <c r="A76" s="18" t="n"/>
      <c r="B76" s="18" t="n"/>
      <c r="C76" s="19" t="n"/>
      <c r="D76" s="19" t="n"/>
      <c r="E76" s="18" t="n"/>
      <c r="F76" s="18" t="n"/>
      <c r="G76" s="18" t="n"/>
      <c r="H76" s="19" t="n"/>
      <c r="I76" s="18" t="n"/>
      <c r="J76" s="18" t="n"/>
      <c r="K76" s="18" t="n"/>
      <c r="L76" s="19" t="n"/>
      <c r="M76" s="21" t="n"/>
      <c r="N76" s="22" t="n"/>
      <c r="O76" s="21" t="n"/>
      <c r="P76" s="23">
        <f>IF(M76="","",IF(OR(M76="OOTB",M76="Konfigurace",M76="Custom vývoj"),IF(O76="","CHYBÍ odkaz FS","OK"),"N/A"))</f>
        <v/>
      </c>
      <c r="Q76" s="23">
        <f>IF(F76="Must",3,IF(F76="Should",2,IF(F76="Could",1,0)))</f>
        <v/>
      </c>
      <c r="R76" s="23">
        <f>IF(M76="","",IF(M76="OOTB",5,IF(M76="Konfigurace",3,IF(M76="Custom vývoj",1,IF(OR(M76="3rd party",M76="Nesplněno"),0,"")))))</f>
        <v/>
      </c>
      <c r="S76" s="24" t="n"/>
      <c r="T76" s="23">
        <f>IF(R76="","",IF(OR(P76="CHYBÍ odkaz FS",S76="Ne"),0,R76))</f>
        <v/>
      </c>
      <c r="U76" s="23">
        <f>IF(G76&lt;&gt;"Ano","",IF(M76="","",IF(OR(M76="Nesplněno",M76="3rd party",M76="Neakceptuje",S76="Ne",P76="CHYBÍ odkaz FS"),"FAIL",IF(M76="Akceptuje s výhradou","K VYJASNĚNÍ","PASS"))))</f>
        <v/>
      </c>
      <c r="V76" s="23">
        <f>IF(AND(J76="Byznys (30 %)",G76&lt;&gt;"Ano",ISNUMBER(T76)),T76*Q76,0)</f>
        <v/>
      </c>
      <c r="W76" s="23">
        <f>IF(AND(J76="Byznys (30 %)",G76&lt;&gt;"Ano",F76&lt;&gt;"Won't"),5*Q76,0)</f>
        <v/>
      </c>
      <c r="X76" s="25" t="n"/>
    </row>
    <row r="77">
      <c r="A77" s="18" t="n"/>
      <c r="B77" s="18" t="n"/>
      <c r="C77" s="19" t="n"/>
      <c r="D77" s="19" t="n"/>
      <c r="E77" s="18" t="n"/>
      <c r="F77" s="18" t="n"/>
      <c r="G77" s="18" t="n"/>
      <c r="H77" s="19" t="n"/>
      <c r="I77" s="18" t="n"/>
      <c r="J77" s="18" t="n"/>
      <c r="K77" s="18" t="n"/>
      <c r="L77" s="19" t="n"/>
      <c r="M77" s="21" t="n"/>
      <c r="N77" s="22" t="n"/>
      <c r="O77" s="21" t="n"/>
      <c r="P77" s="23">
        <f>IF(M77="","",IF(OR(M77="OOTB",M77="Konfigurace",M77="Custom vývoj"),IF(O77="","CHYBÍ odkaz FS","OK"),"N/A"))</f>
        <v/>
      </c>
      <c r="Q77" s="23">
        <f>IF(F77="Must",3,IF(F77="Should",2,IF(F77="Could",1,0)))</f>
        <v/>
      </c>
      <c r="R77" s="23">
        <f>IF(M77="","",IF(M77="OOTB",5,IF(M77="Konfigurace",3,IF(M77="Custom vývoj",1,IF(OR(M77="3rd party",M77="Nesplněno"),0,"")))))</f>
        <v/>
      </c>
      <c r="S77" s="24" t="n"/>
      <c r="T77" s="23">
        <f>IF(R77="","",IF(OR(P77="CHYBÍ odkaz FS",S77="Ne"),0,R77))</f>
        <v/>
      </c>
      <c r="U77" s="23">
        <f>IF(G77&lt;&gt;"Ano","",IF(M77="","",IF(OR(M77="Nesplněno",M77="3rd party",M77="Neakceptuje",S77="Ne",P77="CHYBÍ odkaz FS"),"FAIL",IF(M77="Akceptuje s výhradou","K VYJASNĚNÍ","PASS"))))</f>
        <v/>
      </c>
      <c r="V77" s="23">
        <f>IF(AND(J77="Byznys (30 %)",G77&lt;&gt;"Ano",ISNUMBER(T77)),T77*Q77,0)</f>
        <v/>
      </c>
      <c r="W77" s="23">
        <f>IF(AND(J77="Byznys (30 %)",G77&lt;&gt;"Ano",F77&lt;&gt;"Won't"),5*Q77,0)</f>
        <v/>
      </c>
      <c r="X77" s="25" t="n"/>
    </row>
    <row r="78">
      <c r="A78" s="18" t="n"/>
      <c r="B78" s="18" t="n"/>
      <c r="C78" s="19" t="n"/>
      <c r="D78" s="19" t="n"/>
      <c r="E78" s="18" t="n"/>
      <c r="F78" s="18" t="n"/>
      <c r="G78" s="18" t="n"/>
      <c r="H78" s="19" t="n"/>
      <c r="I78" s="18" t="n"/>
      <c r="J78" s="18" t="n"/>
      <c r="K78" s="18" t="n"/>
      <c r="L78" s="19" t="n"/>
      <c r="M78" s="21" t="n"/>
      <c r="N78" s="22" t="n"/>
      <c r="O78" s="21" t="n"/>
      <c r="P78" s="23">
        <f>IF(M78="","",IF(OR(M78="OOTB",M78="Konfigurace",M78="Custom vývoj"),IF(O78="","CHYBÍ odkaz FS","OK"),"N/A"))</f>
        <v/>
      </c>
      <c r="Q78" s="23">
        <f>IF(F78="Must",3,IF(F78="Should",2,IF(F78="Could",1,0)))</f>
        <v/>
      </c>
      <c r="R78" s="23">
        <f>IF(M78="","",IF(M78="OOTB",5,IF(M78="Konfigurace",3,IF(M78="Custom vývoj",1,IF(OR(M78="3rd party",M78="Nesplněno"),0,"")))))</f>
        <v/>
      </c>
      <c r="S78" s="24" t="n"/>
      <c r="T78" s="23">
        <f>IF(R78="","",IF(OR(P78="CHYBÍ odkaz FS",S78="Ne"),0,R78))</f>
        <v/>
      </c>
      <c r="U78" s="23">
        <f>IF(G78&lt;&gt;"Ano","",IF(M78="","",IF(OR(M78="Nesplněno",M78="3rd party",M78="Neakceptuje",S78="Ne",P78="CHYBÍ odkaz FS"),"FAIL",IF(M78="Akceptuje s výhradou","K VYJASNĚNÍ","PASS"))))</f>
        <v/>
      </c>
      <c r="V78" s="23">
        <f>IF(AND(J78="Byznys (30 %)",G78&lt;&gt;"Ano",ISNUMBER(T78)),T78*Q78,0)</f>
        <v/>
      </c>
      <c r="W78" s="23">
        <f>IF(AND(J78="Byznys (30 %)",G78&lt;&gt;"Ano",F78&lt;&gt;"Won't"),5*Q78,0)</f>
        <v/>
      </c>
      <c r="X78" s="25" t="n"/>
    </row>
    <row r="79">
      <c r="A79" s="18" t="n"/>
      <c r="B79" s="18" t="n"/>
      <c r="C79" s="19" t="n"/>
      <c r="D79" s="19" t="n"/>
      <c r="E79" s="18" t="n"/>
      <c r="F79" s="18" t="n"/>
      <c r="G79" s="18" t="n"/>
      <c r="H79" s="19" t="n"/>
      <c r="I79" s="18" t="n"/>
      <c r="J79" s="18" t="n"/>
      <c r="K79" s="18" t="n"/>
      <c r="L79" s="19" t="n"/>
      <c r="M79" s="21" t="n"/>
      <c r="N79" s="22" t="n"/>
      <c r="O79" s="21" t="n"/>
      <c r="P79" s="23">
        <f>IF(M79="","",IF(OR(M79="OOTB",M79="Konfigurace",M79="Custom vývoj"),IF(O79="","CHYBÍ odkaz FS","OK"),"N/A"))</f>
        <v/>
      </c>
      <c r="Q79" s="23">
        <f>IF(F79="Must",3,IF(F79="Should",2,IF(F79="Could",1,0)))</f>
        <v/>
      </c>
      <c r="R79" s="23">
        <f>IF(M79="","",IF(M79="OOTB",5,IF(M79="Konfigurace",3,IF(M79="Custom vývoj",1,IF(OR(M79="3rd party",M79="Nesplněno"),0,"")))))</f>
        <v/>
      </c>
      <c r="S79" s="24" t="n"/>
      <c r="T79" s="23">
        <f>IF(R79="","",IF(OR(P79="CHYBÍ odkaz FS",S79="Ne"),0,R79))</f>
        <v/>
      </c>
      <c r="U79" s="23">
        <f>IF(G79&lt;&gt;"Ano","",IF(M79="","",IF(OR(M79="Nesplněno",M79="3rd party",M79="Neakceptuje",S79="Ne",P79="CHYBÍ odkaz FS"),"FAIL",IF(M79="Akceptuje s výhradou","K VYJASNĚNÍ","PASS"))))</f>
        <v/>
      </c>
      <c r="V79" s="23">
        <f>IF(AND(J79="Byznys (30 %)",G79&lt;&gt;"Ano",ISNUMBER(T79)),T79*Q79,0)</f>
        <v/>
      </c>
      <c r="W79" s="23">
        <f>IF(AND(J79="Byznys (30 %)",G79&lt;&gt;"Ano",F79&lt;&gt;"Won't"),5*Q79,0)</f>
        <v/>
      </c>
      <c r="X79" s="25" t="n"/>
    </row>
    <row r="80">
      <c r="A80" s="18" t="n"/>
      <c r="B80" s="18" t="n"/>
      <c r="C80" s="19" t="n"/>
      <c r="D80" s="19" t="n"/>
      <c r="E80" s="18" t="n"/>
      <c r="F80" s="18" t="n"/>
      <c r="G80" s="18" t="n"/>
      <c r="H80" s="19" t="n"/>
      <c r="I80" s="18" t="n"/>
      <c r="J80" s="18" t="n"/>
      <c r="K80" s="18" t="n"/>
      <c r="L80" s="19" t="n"/>
      <c r="M80" s="21" t="n"/>
      <c r="N80" s="22" t="n"/>
      <c r="O80" s="21" t="n"/>
      <c r="P80" s="23">
        <f>IF(M80="","",IF(OR(M80="OOTB",M80="Konfigurace",M80="Custom vývoj"),IF(O80="","CHYBÍ odkaz FS","OK"),"N/A"))</f>
        <v/>
      </c>
      <c r="Q80" s="23">
        <f>IF(F80="Must",3,IF(F80="Should",2,IF(F80="Could",1,0)))</f>
        <v/>
      </c>
      <c r="R80" s="23">
        <f>IF(M80="","",IF(M80="OOTB",5,IF(M80="Konfigurace",3,IF(M80="Custom vývoj",1,IF(OR(M80="3rd party",M80="Nesplněno"),0,"")))))</f>
        <v/>
      </c>
      <c r="S80" s="24" t="n"/>
      <c r="T80" s="23">
        <f>IF(R80="","",IF(OR(P80="CHYBÍ odkaz FS",S80="Ne"),0,R80))</f>
        <v/>
      </c>
      <c r="U80" s="23">
        <f>IF(G80&lt;&gt;"Ano","",IF(M80="","",IF(OR(M80="Nesplněno",M80="3rd party",M80="Neakceptuje",S80="Ne",P80="CHYBÍ odkaz FS"),"FAIL",IF(M80="Akceptuje s výhradou","K VYJASNĚNÍ","PASS"))))</f>
        <v/>
      </c>
      <c r="V80" s="23">
        <f>IF(AND(J80="Byznys (30 %)",G80&lt;&gt;"Ano",ISNUMBER(T80)),T80*Q80,0)</f>
        <v/>
      </c>
      <c r="W80" s="23">
        <f>IF(AND(J80="Byznys (30 %)",G80&lt;&gt;"Ano",F80&lt;&gt;"Won't"),5*Q80,0)</f>
        <v/>
      </c>
      <c r="X80" s="25" t="n"/>
    </row>
    <row r="81">
      <c r="A81" s="18" t="n"/>
      <c r="B81" s="18" t="n"/>
      <c r="C81" s="19" t="n"/>
      <c r="D81" s="19" t="n"/>
      <c r="E81" s="18" t="n"/>
      <c r="F81" s="18" t="n"/>
      <c r="G81" s="18" t="n"/>
      <c r="H81" s="19" t="n"/>
      <c r="I81" s="18" t="n"/>
      <c r="J81" s="18" t="n"/>
      <c r="K81" s="18" t="n"/>
      <c r="L81" s="19" t="n"/>
      <c r="M81" s="21" t="n"/>
      <c r="N81" s="22" t="n"/>
      <c r="O81" s="21" t="n"/>
      <c r="P81" s="23">
        <f>IF(M81="","",IF(OR(M81="OOTB",M81="Konfigurace",M81="Custom vývoj"),IF(O81="","CHYBÍ odkaz FS","OK"),"N/A"))</f>
        <v/>
      </c>
      <c r="Q81" s="23">
        <f>IF(F81="Must",3,IF(F81="Should",2,IF(F81="Could",1,0)))</f>
        <v/>
      </c>
      <c r="R81" s="23">
        <f>IF(M81="","",IF(M81="OOTB",5,IF(M81="Konfigurace",3,IF(M81="Custom vývoj",1,IF(OR(M81="3rd party",M81="Nesplněno"),0,"")))))</f>
        <v/>
      </c>
      <c r="S81" s="24" t="n"/>
      <c r="T81" s="23">
        <f>IF(R81="","",IF(OR(P81="CHYBÍ odkaz FS",S81="Ne"),0,R81))</f>
        <v/>
      </c>
      <c r="U81" s="23">
        <f>IF(G81&lt;&gt;"Ano","",IF(M81="","",IF(OR(M81="Nesplněno",M81="3rd party",M81="Neakceptuje",S81="Ne",P81="CHYBÍ odkaz FS"),"FAIL",IF(M81="Akceptuje s výhradou","K VYJASNĚNÍ","PASS"))))</f>
        <v/>
      </c>
      <c r="V81" s="23">
        <f>IF(AND(J81="Byznys (30 %)",G81&lt;&gt;"Ano",ISNUMBER(T81)),T81*Q81,0)</f>
        <v/>
      </c>
      <c r="W81" s="23">
        <f>IF(AND(J81="Byznys (30 %)",G81&lt;&gt;"Ano",F81&lt;&gt;"Won't"),5*Q81,0)</f>
        <v/>
      </c>
      <c r="X81" s="25" t="n"/>
    </row>
    <row r="82">
      <c r="A82" s="18" t="n"/>
      <c r="B82" s="18" t="n"/>
      <c r="C82" s="19" t="n"/>
      <c r="D82" s="19" t="n"/>
      <c r="E82" s="18" t="n"/>
      <c r="F82" s="18" t="n"/>
      <c r="G82" s="18" t="n"/>
      <c r="H82" s="19" t="n"/>
      <c r="I82" s="18" t="n"/>
      <c r="J82" s="18" t="n"/>
      <c r="K82" s="18" t="n"/>
      <c r="L82" s="19" t="n"/>
      <c r="M82" s="21" t="n"/>
      <c r="N82" s="22" t="n"/>
      <c r="O82" s="21" t="n"/>
      <c r="P82" s="23">
        <f>IF(M82="","",IF(OR(M82="OOTB",M82="Konfigurace",M82="Custom vývoj"),IF(O82="","CHYBÍ odkaz FS","OK"),"N/A"))</f>
        <v/>
      </c>
      <c r="Q82" s="23">
        <f>IF(F82="Must",3,IF(F82="Should",2,IF(F82="Could",1,0)))</f>
        <v/>
      </c>
      <c r="R82" s="23">
        <f>IF(M82="","",IF(M82="OOTB",5,IF(M82="Konfigurace",3,IF(M82="Custom vývoj",1,IF(OR(M82="3rd party",M82="Nesplněno"),0,"")))))</f>
        <v/>
      </c>
      <c r="S82" s="24" t="n"/>
      <c r="T82" s="23">
        <f>IF(R82="","",IF(OR(P82="CHYBÍ odkaz FS",S82="Ne"),0,R82))</f>
        <v/>
      </c>
      <c r="U82" s="23">
        <f>IF(G82&lt;&gt;"Ano","",IF(M82="","",IF(OR(M82="Nesplněno",M82="3rd party",M82="Neakceptuje",S82="Ne",P82="CHYBÍ odkaz FS"),"FAIL",IF(M82="Akceptuje s výhradou","K VYJASNĚNÍ","PASS"))))</f>
        <v/>
      </c>
      <c r="V82" s="23">
        <f>IF(AND(J82="Byznys (30 %)",G82&lt;&gt;"Ano",ISNUMBER(T82)),T82*Q82,0)</f>
        <v/>
      </c>
      <c r="W82" s="23">
        <f>IF(AND(J82="Byznys (30 %)",G82&lt;&gt;"Ano",F82&lt;&gt;"Won't"),5*Q82,0)</f>
        <v/>
      </c>
      <c r="X82" s="25" t="n"/>
    </row>
    <row r="83">
      <c r="A83" s="18" t="n"/>
      <c r="B83" s="18" t="n"/>
      <c r="C83" s="19" t="n"/>
      <c r="D83" s="19" t="n"/>
      <c r="E83" s="18" t="n"/>
      <c r="F83" s="18" t="n"/>
      <c r="G83" s="18" t="n"/>
      <c r="H83" s="19" t="n"/>
      <c r="I83" s="18" t="n"/>
      <c r="J83" s="18" t="n"/>
      <c r="K83" s="18" t="n"/>
      <c r="L83" s="19" t="n"/>
      <c r="M83" s="21" t="n"/>
      <c r="N83" s="22" t="n"/>
      <c r="O83" s="21" t="n"/>
      <c r="P83" s="23">
        <f>IF(M83="","",IF(OR(M83="OOTB",M83="Konfigurace",M83="Custom vývoj"),IF(O83="","CHYBÍ odkaz FS","OK"),"N/A"))</f>
        <v/>
      </c>
      <c r="Q83" s="23">
        <f>IF(F83="Must",3,IF(F83="Should",2,IF(F83="Could",1,0)))</f>
        <v/>
      </c>
      <c r="R83" s="23">
        <f>IF(M83="","",IF(M83="OOTB",5,IF(M83="Konfigurace",3,IF(M83="Custom vývoj",1,IF(OR(M83="3rd party",M83="Nesplněno"),0,"")))))</f>
        <v/>
      </c>
      <c r="S83" s="24" t="n"/>
      <c r="T83" s="23">
        <f>IF(R83="","",IF(OR(P83="CHYBÍ odkaz FS",S83="Ne"),0,R83))</f>
        <v/>
      </c>
      <c r="U83" s="23">
        <f>IF(G83&lt;&gt;"Ano","",IF(M83="","",IF(OR(M83="Nesplněno",M83="3rd party",M83="Neakceptuje",S83="Ne",P83="CHYBÍ odkaz FS"),"FAIL",IF(M83="Akceptuje s výhradou","K VYJASNĚNÍ","PASS"))))</f>
        <v/>
      </c>
      <c r="V83" s="23">
        <f>IF(AND(J83="Byznys (30 %)",G83&lt;&gt;"Ano",ISNUMBER(T83)),T83*Q83,0)</f>
        <v/>
      </c>
      <c r="W83" s="23">
        <f>IF(AND(J83="Byznys (30 %)",G83&lt;&gt;"Ano",F83&lt;&gt;"Won't"),5*Q83,0)</f>
        <v/>
      </c>
      <c r="X83" s="25" t="n"/>
    </row>
    <row r="84">
      <c r="A84" s="18" t="n"/>
      <c r="B84" s="18" t="n"/>
      <c r="C84" s="19" t="n"/>
      <c r="D84" s="19" t="n"/>
      <c r="E84" s="18" t="n"/>
      <c r="F84" s="18" t="n"/>
      <c r="G84" s="18" t="n"/>
      <c r="H84" s="19" t="n"/>
      <c r="I84" s="18" t="n"/>
      <c r="J84" s="18" t="n"/>
      <c r="K84" s="18" t="n"/>
      <c r="L84" s="19" t="n"/>
      <c r="M84" s="21" t="n"/>
      <c r="N84" s="22" t="n"/>
      <c r="O84" s="21" t="n"/>
      <c r="P84" s="23">
        <f>IF(M84="","",IF(OR(M84="OOTB",M84="Konfigurace",M84="Custom vývoj"),IF(O84="","CHYBÍ odkaz FS","OK"),"N/A"))</f>
        <v/>
      </c>
      <c r="Q84" s="23">
        <f>IF(F84="Must",3,IF(F84="Should",2,IF(F84="Could",1,0)))</f>
        <v/>
      </c>
      <c r="R84" s="23">
        <f>IF(M84="","",IF(M84="OOTB",5,IF(M84="Konfigurace",3,IF(M84="Custom vývoj",1,IF(OR(M84="3rd party",M84="Nesplněno"),0,"")))))</f>
        <v/>
      </c>
      <c r="S84" s="24" t="n"/>
      <c r="T84" s="23">
        <f>IF(R84="","",IF(OR(P84="CHYBÍ odkaz FS",S84="Ne"),0,R84))</f>
        <v/>
      </c>
      <c r="U84" s="23">
        <f>IF(G84&lt;&gt;"Ano","",IF(M84="","",IF(OR(M84="Nesplněno",M84="3rd party",M84="Neakceptuje",S84="Ne",P84="CHYBÍ odkaz FS"),"FAIL",IF(M84="Akceptuje s výhradou","K VYJASNĚNÍ","PASS"))))</f>
        <v/>
      </c>
      <c r="V84" s="23">
        <f>IF(AND(J84="Byznys (30 %)",G84&lt;&gt;"Ano",ISNUMBER(T84)),T84*Q84,0)</f>
        <v/>
      </c>
      <c r="W84" s="23">
        <f>IF(AND(J84="Byznys (30 %)",G84&lt;&gt;"Ano",F84&lt;&gt;"Won't"),5*Q84,0)</f>
        <v/>
      </c>
      <c r="X84" s="25" t="n"/>
    </row>
    <row r="85">
      <c r="A85" s="18" t="n"/>
      <c r="B85" s="18" t="n"/>
      <c r="C85" s="19" t="n"/>
      <c r="D85" s="19" t="n"/>
      <c r="E85" s="18" t="n"/>
      <c r="F85" s="18" t="n"/>
      <c r="G85" s="18" t="n"/>
      <c r="H85" s="19" t="n"/>
      <c r="I85" s="18" t="n"/>
      <c r="J85" s="18" t="n"/>
      <c r="K85" s="18" t="n"/>
      <c r="L85" s="19" t="n"/>
      <c r="M85" s="21" t="n"/>
      <c r="N85" s="22" t="n"/>
      <c r="O85" s="21" t="n"/>
      <c r="P85" s="23">
        <f>IF(M85="","",IF(OR(M85="OOTB",M85="Konfigurace",M85="Custom vývoj"),IF(O85="","CHYBÍ odkaz FS","OK"),"N/A"))</f>
        <v/>
      </c>
      <c r="Q85" s="23">
        <f>IF(F85="Must",3,IF(F85="Should",2,IF(F85="Could",1,0)))</f>
        <v/>
      </c>
      <c r="R85" s="23">
        <f>IF(M85="","",IF(M85="OOTB",5,IF(M85="Konfigurace",3,IF(M85="Custom vývoj",1,IF(OR(M85="3rd party",M85="Nesplněno"),0,"")))))</f>
        <v/>
      </c>
      <c r="S85" s="24" t="n"/>
      <c r="T85" s="23">
        <f>IF(R85="","",IF(OR(P85="CHYBÍ odkaz FS",S85="Ne"),0,R85))</f>
        <v/>
      </c>
      <c r="U85" s="23">
        <f>IF(G85&lt;&gt;"Ano","",IF(M85="","",IF(OR(M85="Nesplněno",M85="3rd party",M85="Neakceptuje",S85="Ne",P85="CHYBÍ odkaz FS"),"FAIL",IF(M85="Akceptuje s výhradou","K VYJASNĚNÍ","PASS"))))</f>
        <v/>
      </c>
      <c r="V85" s="23">
        <f>IF(AND(J85="Byznys (30 %)",G85&lt;&gt;"Ano",ISNUMBER(T85)),T85*Q85,0)</f>
        <v/>
      </c>
      <c r="W85" s="23">
        <f>IF(AND(J85="Byznys (30 %)",G85&lt;&gt;"Ano",F85&lt;&gt;"Won't"),5*Q85,0)</f>
        <v/>
      </c>
      <c r="X85" s="25" t="n"/>
    </row>
    <row r="86">
      <c r="A86" s="18" t="n"/>
      <c r="B86" s="18" t="n"/>
      <c r="C86" s="19" t="n"/>
      <c r="D86" s="19" t="n"/>
      <c r="E86" s="18" t="n"/>
      <c r="F86" s="18" t="n"/>
      <c r="G86" s="18" t="n"/>
      <c r="H86" s="19" t="n"/>
      <c r="I86" s="18" t="n"/>
      <c r="J86" s="18" t="n"/>
      <c r="K86" s="18" t="n"/>
      <c r="L86" s="19" t="n"/>
      <c r="M86" s="21" t="n"/>
      <c r="N86" s="22" t="n"/>
      <c r="O86" s="21" t="n"/>
      <c r="P86" s="23">
        <f>IF(M86="","",IF(OR(M86="OOTB",M86="Konfigurace",M86="Custom vývoj"),IF(O86="","CHYBÍ odkaz FS","OK"),"N/A"))</f>
        <v/>
      </c>
      <c r="Q86" s="23">
        <f>IF(F86="Must",3,IF(F86="Should",2,IF(F86="Could",1,0)))</f>
        <v/>
      </c>
      <c r="R86" s="23">
        <f>IF(M86="","",IF(M86="OOTB",5,IF(M86="Konfigurace",3,IF(M86="Custom vývoj",1,IF(OR(M86="3rd party",M86="Nesplněno"),0,"")))))</f>
        <v/>
      </c>
      <c r="S86" s="24" t="n"/>
      <c r="T86" s="23">
        <f>IF(R86="","",IF(OR(P86="CHYBÍ odkaz FS",S86="Ne"),0,R86))</f>
        <v/>
      </c>
      <c r="U86" s="23">
        <f>IF(G86&lt;&gt;"Ano","",IF(M86="","",IF(OR(M86="Nesplněno",M86="3rd party",M86="Neakceptuje",S86="Ne",P86="CHYBÍ odkaz FS"),"FAIL",IF(M86="Akceptuje s výhradou","K VYJASNĚNÍ","PASS"))))</f>
        <v/>
      </c>
      <c r="V86" s="23">
        <f>IF(AND(J86="Byznys (30 %)",G86&lt;&gt;"Ano",ISNUMBER(T86)),T86*Q86,0)</f>
        <v/>
      </c>
      <c r="W86" s="23">
        <f>IF(AND(J86="Byznys (30 %)",G86&lt;&gt;"Ano",F86&lt;&gt;"Won't"),5*Q86,0)</f>
        <v/>
      </c>
      <c r="X86" s="25" t="n"/>
    </row>
    <row r="87">
      <c r="A87" s="18" t="n"/>
      <c r="B87" s="18" t="n"/>
      <c r="C87" s="19" t="n"/>
      <c r="D87" s="19" t="n"/>
      <c r="E87" s="18" t="n"/>
      <c r="F87" s="18" t="n"/>
      <c r="G87" s="18" t="n"/>
      <c r="H87" s="19" t="n"/>
      <c r="I87" s="18" t="n"/>
      <c r="J87" s="18" t="n"/>
      <c r="K87" s="18" t="n"/>
      <c r="L87" s="19" t="n"/>
      <c r="M87" s="21" t="n"/>
      <c r="N87" s="22" t="n"/>
      <c r="O87" s="21" t="n"/>
      <c r="P87" s="23">
        <f>IF(M87="","",IF(OR(M87="OOTB",M87="Konfigurace",M87="Custom vývoj"),IF(O87="","CHYBÍ odkaz FS","OK"),"N/A"))</f>
        <v/>
      </c>
      <c r="Q87" s="23">
        <f>IF(F87="Must",3,IF(F87="Should",2,IF(F87="Could",1,0)))</f>
        <v/>
      </c>
      <c r="R87" s="23">
        <f>IF(M87="","",IF(M87="OOTB",5,IF(M87="Konfigurace",3,IF(M87="Custom vývoj",1,IF(OR(M87="3rd party",M87="Nesplněno"),0,"")))))</f>
        <v/>
      </c>
      <c r="S87" s="24" t="n"/>
      <c r="T87" s="23">
        <f>IF(R87="","",IF(OR(P87="CHYBÍ odkaz FS",S87="Ne"),0,R87))</f>
        <v/>
      </c>
      <c r="U87" s="23">
        <f>IF(G87&lt;&gt;"Ano","",IF(M87="","",IF(OR(M87="Nesplněno",M87="3rd party",M87="Neakceptuje",S87="Ne",P87="CHYBÍ odkaz FS"),"FAIL",IF(M87="Akceptuje s výhradou","K VYJASNĚNÍ","PASS"))))</f>
        <v/>
      </c>
      <c r="V87" s="23">
        <f>IF(AND(J87="Byznys (30 %)",G87&lt;&gt;"Ano",ISNUMBER(T87)),T87*Q87,0)</f>
        <v/>
      </c>
      <c r="W87" s="23">
        <f>IF(AND(J87="Byznys (30 %)",G87&lt;&gt;"Ano",F87&lt;&gt;"Won't"),5*Q87,0)</f>
        <v/>
      </c>
      <c r="X87" s="25" t="n"/>
    </row>
    <row r="88">
      <c r="A88" s="18" t="n"/>
      <c r="B88" s="18" t="n"/>
      <c r="C88" s="19" t="n"/>
      <c r="D88" s="19" t="n"/>
      <c r="E88" s="18" t="n"/>
      <c r="F88" s="18" t="n"/>
      <c r="G88" s="18" t="n"/>
      <c r="H88" s="19" t="n"/>
      <c r="I88" s="18" t="n"/>
      <c r="J88" s="18" t="n"/>
      <c r="K88" s="18" t="n"/>
      <c r="L88" s="19" t="n"/>
      <c r="M88" s="21" t="n"/>
      <c r="N88" s="22" t="n"/>
      <c r="O88" s="21" t="n"/>
      <c r="P88" s="23">
        <f>IF(M88="","",IF(OR(M88="OOTB",M88="Konfigurace",M88="Custom vývoj"),IF(O88="","CHYBÍ odkaz FS","OK"),"N/A"))</f>
        <v/>
      </c>
      <c r="Q88" s="23">
        <f>IF(F88="Must",3,IF(F88="Should",2,IF(F88="Could",1,0)))</f>
        <v/>
      </c>
      <c r="R88" s="23">
        <f>IF(M88="","",IF(M88="OOTB",5,IF(M88="Konfigurace",3,IF(M88="Custom vývoj",1,IF(OR(M88="3rd party",M88="Nesplněno"),0,"")))))</f>
        <v/>
      </c>
      <c r="S88" s="24" t="n"/>
      <c r="T88" s="23">
        <f>IF(R88="","",IF(OR(P88="CHYBÍ odkaz FS",S88="Ne"),0,R88))</f>
        <v/>
      </c>
      <c r="U88" s="23">
        <f>IF(G88&lt;&gt;"Ano","",IF(M88="","",IF(OR(M88="Nesplněno",M88="3rd party",M88="Neakceptuje",S88="Ne",P88="CHYBÍ odkaz FS"),"FAIL",IF(M88="Akceptuje s výhradou","K VYJASNĚNÍ","PASS"))))</f>
        <v/>
      </c>
      <c r="V88" s="23">
        <f>IF(AND(J88="Byznys (30 %)",G88&lt;&gt;"Ano",ISNUMBER(T88)),T88*Q88,0)</f>
        <v/>
      </c>
      <c r="W88" s="23">
        <f>IF(AND(J88="Byznys (30 %)",G88&lt;&gt;"Ano",F88&lt;&gt;"Won't"),5*Q88,0)</f>
        <v/>
      </c>
      <c r="X88" s="25" t="n"/>
    </row>
    <row r="89">
      <c r="A89" s="18" t="n"/>
      <c r="B89" s="18" t="n"/>
      <c r="C89" s="19" t="n"/>
      <c r="D89" s="19" t="n"/>
      <c r="E89" s="18" t="n"/>
      <c r="F89" s="18" t="n"/>
      <c r="G89" s="18" t="n"/>
      <c r="H89" s="19" t="n"/>
      <c r="I89" s="18" t="n"/>
      <c r="J89" s="18" t="n"/>
      <c r="K89" s="18" t="n"/>
      <c r="L89" s="19" t="n"/>
      <c r="M89" s="21" t="n"/>
      <c r="N89" s="22" t="n"/>
      <c r="O89" s="21" t="n"/>
      <c r="P89" s="23">
        <f>IF(M89="","",IF(OR(M89="OOTB",M89="Konfigurace",M89="Custom vývoj"),IF(O89="","CHYBÍ odkaz FS","OK"),"N/A"))</f>
        <v/>
      </c>
      <c r="Q89" s="23">
        <f>IF(F89="Must",3,IF(F89="Should",2,IF(F89="Could",1,0)))</f>
        <v/>
      </c>
      <c r="R89" s="23">
        <f>IF(M89="","",IF(M89="OOTB",5,IF(M89="Konfigurace",3,IF(M89="Custom vývoj",1,IF(OR(M89="3rd party",M89="Nesplněno"),0,"")))))</f>
        <v/>
      </c>
      <c r="S89" s="24" t="n"/>
      <c r="T89" s="23">
        <f>IF(R89="","",IF(OR(P89="CHYBÍ odkaz FS",S89="Ne"),0,R89))</f>
        <v/>
      </c>
      <c r="U89" s="23">
        <f>IF(G89&lt;&gt;"Ano","",IF(M89="","",IF(OR(M89="Nesplněno",M89="3rd party",M89="Neakceptuje",S89="Ne",P89="CHYBÍ odkaz FS"),"FAIL",IF(M89="Akceptuje s výhradou","K VYJASNĚNÍ","PASS"))))</f>
        <v/>
      </c>
      <c r="V89" s="23">
        <f>IF(AND(J89="Byznys (30 %)",G89&lt;&gt;"Ano",ISNUMBER(T89)),T89*Q89,0)</f>
        <v/>
      </c>
      <c r="W89" s="23">
        <f>IF(AND(J89="Byznys (30 %)",G89&lt;&gt;"Ano",F89&lt;&gt;"Won't"),5*Q89,0)</f>
        <v/>
      </c>
      <c r="X89" s="25" t="n"/>
    </row>
    <row r="90">
      <c r="A90" s="18" t="n"/>
      <c r="B90" s="18" t="n"/>
      <c r="C90" s="19" t="n"/>
      <c r="D90" s="19" t="n"/>
      <c r="E90" s="18" t="n"/>
      <c r="F90" s="18" t="n"/>
      <c r="G90" s="18" t="n"/>
      <c r="H90" s="19" t="n"/>
      <c r="I90" s="18" t="n"/>
      <c r="J90" s="18" t="n"/>
      <c r="K90" s="18" t="n"/>
      <c r="L90" s="19" t="n"/>
      <c r="M90" s="21" t="n"/>
      <c r="N90" s="22" t="n"/>
      <c r="O90" s="21" t="n"/>
      <c r="P90" s="23">
        <f>IF(M90="","",IF(OR(M90="OOTB",M90="Konfigurace",M90="Custom vývoj"),IF(O90="","CHYBÍ odkaz FS","OK"),"N/A"))</f>
        <v/>
      </c>
      <c r="Q90" s="23">
        <f>IF(F90="Must",3,IF(F90="Should",2,IF(F90="Could",1,0)))</f>
        <v/>
      </c>
      <c r="R90" s="23">
        <f>IF(M90="","",IF(M90="OOTB",5,IF(M90="Konfigurace",3,IF(M90="Custom vývoj",1,IF(OR(M90="3rd party",M90="Nesplněno"),0,"")))))</f>
        <v/>
      </c>
      <c r="S90" s="24" t="n"/>
      <c r="T90" s="23">
        <f>IF(R90="","",IF(OR(P90="CHYBÍ odkaz FS",S90="Ne"),0,R90))</f>
        <v/>
      </c>
      <c r="U90" s="23">
        <f>IF(G90&lt;&gt;"Ano","",IF(M90="","",IF(OR(M90="Nesplněno",M90="3rd party",M90="Neakceptuje",S90="Ne",P90="CHYBÍ odkaz FS"),"FAIL",IF(M90="Akceptuje s výhradou","K VYJASNĚNÍ","PASS"))))</f>
        <v/>
      </c>
      <c r="V90" s="23">
        <f>IF(AND(J90="Byznys (30 %)",G90&lt;&gt;"Ano",ISNUMBER(T90)),T90*Q90,0)</f>
        <v/>
      </c>
      <c r="W90" s="23">
        <f>IF(AND(J90="Byznys (30 %)",G90&lt;&gt;"Ano",F90&lt;&gt;"Won't"),5*Q90,0)</f>
        <v/>
      </c>
      <c r="X90" s="25" t="n"/>
    </row>
    <row r="91">
      <c r="A91" s="18" t="n"/>
      <c r="B91" s="18" t="n"/>
      <c r="C91" s="19" t="n"/>
      <c r="D91" s="19" t="n"/>
      <c r="E91" s="18" t="n"/>
      <c r="F91" s="18" t="n"/>
      <c r="G91" s="18" t="n"/>
      <c r="H91" s="19" t="n"/>
      <c r="I91" s="18" t="n"/>
      <c r="J91" s="18" t="n"/>
      <c r="K91" s="18" t="n"/>
      <c r="L91" s="19" t="n"/>
      <c r="M91" s="21" t="n"/>
      <c r="N91" s="22" t="n"/>
      <c r="O91" s="21" t="n"/>
      <c r="P91" s="23">
        <f>IF(M91="","",IF(OR(M91="OOTB",M91="Konfigurace",M91="Custom vývoj"),IF(O91="","CHYBÍ odkaz FS","OK"),"N/A"))</f>
        <v/>
      </c>
      <c r="Q91" s="23">
        <f>IF(F91="Must",3,IF(F91="Should",2,IF(F91="Could",1,0)))</f>
        <v/>
      </c>
      <c r="R91" s="23">
        <f>IF(M91="","",IF(M91="OOTB",5,IF(M91="Konfigurace",3,IF(M91="Custom vývoj",1,IF(OR(M91="3rd party",M91="Nesplněno"),0,"")))))</f>
        <v/>
      </c>
      <c r="S91" s="24" t="n"/>
      <c r="T91" s="23">
        <f>IF(R91="","",IF(OR(P91="CHYBÍ odkaz FS",S91="Ne"),0,R91))</f>
        <v/>
      </c>
      <c r="U91" s="23">
        <f>IF(G91&lt;&gt;"Ano","",IF(M91="","",IF(OR(M91="Nesplněno",M91="3rd party",M91="Neakceptuje",S91="Ne",P91="CHYBÍ odkaz FS"),"FAIL",IF(M91="Akceptuje s výhradou","K VYJASNĚNÍ","PASS"))))</f>
        <v/>
      </c>
      <c r="V91" s="23">
        <f>IF(AND(J91="Byznys (30 %)",G91&lt;&gt;"Ano",ISNUMBER(T91)),T91*Q91,0)</f>
        <v/>
      </c>
      <c r="W91" s="23">
        <f>IF(AND(J91="Byznys (30 %)",G91&lt;&gt;"Ano",F91&lt;&gt;"Won't"),5*Q91,0)</f>
        <v/>
      </c>
      <c r="X91" s="25" t="n"/>
    </row>
    <row r="92">
      <c r="A92" s="18" t="n"/>
      <c r="B92" s="18" t="n"/>
      <c r="C92" s="19" t="n"/>
      <c r="D92" s="19" t="n"/>
      <c r="E92" s="18" t="n"/>
      <c r="F92" s="18" t="n"/>
      <c r="G92" s="18" t="n"/>
      <c r="H92" s="19" t="n"/>
      <c r="I92" s="18" t="n"/>
      <c r="J92" s="18" t="n"/>
      <c r="K92" s="18" t="n"/>
      <c r="L92" s="19" t="n"/>
      <c r="M92" s="21" t="n"/>
      <c r="N92" s="22" t="n"/>
      <c r="O92" s="21" t="n"/>
      <c r="P92" s="23">
        <f>IF(M92="","",IF(OR(M92="OOTB",M92="Konfigurace",M92="Custom vývoj"),IF(O92="","CHYBÍ odkaz FS","OK"),"N/A"))</f>
        <v/>
      </c>
      <c r="Q92" s="23">
        <f>IF(F92="Must",3,IF(F92="Should",2,IF(F92="Could",1,0)))</f>
        <v/>
      </c>
      <c r="R92" s="23">
        <f>IF(M92="","",IF(M92="OOTB",5,IF(M92="Konfigurace",3,IF(M92="Custom vývoj",1,IF(OR(M92="3rd party",M92="Nesplněno"),0,"")))))</f>
        <v/>
      </c>
      <c r="S92" s="24" t="n"/>
      <c r="T92" s="23">
        <f>IF(R92="","",IF(OR(P92="CHYBÍ odkaz FS",S92="Ne"),0,R92))</f>
        <v/>
      </c>
      <c r="U92" s="23">
        <f>IF(G92&lt;&gt;"Ano","",IF(M92="","",IF(OR(M92="Nesplněno",M92="3rd party",M92="Neakceptuje",S92="Ne",P92="CHYBÍ odkaz FS"),"FAIL",IF(M92="Akceptuje s výhradou","K VYJASNĚNÍ","PASS"))))</f>
        <v/>
      </c>
      <c r="V92" s="23">
        <f>IF(AND(J92="Byznys (30 %)",G92&lt;&gt;"Ano",ISNUMBER(T92)),T92*Q92,0)</f>
        <v/>
      </c>
      <c r="W92" s="23">
        <f>IF(AND(J92="Byznys (30 %)",G92&lt;&gt;"Ano",F92&lt;&gt;"Won't"),5*Q92,0)</f>
        <v/>
      </c>
      <c r="X92" s="25" t="n"/>
    </row>
    <row r="93">
      <c r="A93" s="18" t="n"/>
      <c r="B93" s="18" t="n"/>
      <c r="C93" s="19" t="n"/>
      <c r="D93" s="19" t="n"/>
      <c r="E93" s="18" t="n"/>
      <c r="F93" s="18" t="n"/>
      <c r="G93" s="18" t="n"/>
      <c r="H93" s="19" t="n"/>
      <c r="I93" s="18" t="n"/>
      <c r="J93" s="18" t="n"/>
      <c r="K93" s="18" t="n"/>
      <c r="L93" s="19" t="n"/>
      <c r="M93" s="21" t="n"/>
      <c r="N93" s="22" t="n"/>
      <c r="O93" s="21" t="n"/>
      <c r="P93" s="23">
        <f>IF(M93="","",IF(OR(M93="OOTB",M93="Konfigurace",M93="Custom vývoj"),IF(O93="","CHYBÍ odkaz FS","OK"),"N/A"))</f>
        <v/>
      </c>
      <c r="Q93" s="23">
        <f>IF(F93="Must",3,IF(F93="Should",2,IF(F93="Could",1,0)))</f>
        <v/>
      </c>
      <c r="R93" s="23">
        <f>IF(M93="","",IF(M93="OOTB",5,IF(M93="Konfigurace",3,IF(M93="Custom vývoj",1,IF(OR(M93="3rd party",M93="Nesplněno"),0,"")))))</f>
        <v/>
      </c>
      <c r="S93" s="24" t="n"/>
      <c r="T93" s="23">
        <f>IF(R93="","",IF(OR(P93="CHYBÍ odkaz FS",S93="Ne"),0,R93))</f>
        <v/>
      </c>
      <c r="U93" s="23">
        <f>IF(G93&lt;&gt;"Ano","",IF(M93="","",IF(OR(M93="Nesplněno",M93="3rd party",M93="Neakceptuje",S93="Ne",P93="CHYBÍ odkaz FS"),"FAIL",IF(M93="Akceptuje s výhradou","K VYJASNĚNÍ","PASS"))))</f>
        <v/>
      </c>
      <c r="V93" s="23">
        <f>IF(AND(J93="Byznys (30 %)",G93&lt;&gt;"Ano",ISNUMBER(T93)),T93*Q93,0)</f>
        <v/>
      </c>
      <c r="W93" s="23">
        <f>IF(AND(J93="Byznys (30 %)",G93&lt;&gt;"Ano",F93&lt;&gt;"Won't"),5*Q93,0)</f>
        <v/>
      </c>
      <c r="X93" s="25" t="n"/>
    </row>
    <row r="94">
      <c r="A94" s="18" t="n"/>
      <c r="B94" s="18" t="n"/>
      <c r="C94" s="19" t="n"/>
      <c r="D94" s="19" t="n"/>
      <c r="E94" s="18" t="n"/>
      <c r="F94" s="18" t="n"/>
      <c r="G94" s="18" t="n"/>
      <c r="H94" s="19" t="n"/>
      <c r="I94" s="18" t="n"/>
      <c r="J94" s="18" t="n"/>
      <c r="K94" s="18" t="n"/>
      <c r="L94" s="19" t="n"/>
      <c r="M94" s="21" t="n"/>
      <c r="N94" s="22" t="n"/>
      <c r="O94" s="21" t="n"/>
      <c r="P94" s="23">
        <f>IF(M94="","",IF(OR(M94="OOTB",M94="Konfigurace",M94="Custom vývoj"),IF(O94="","CHYBÍ odkaz FS","OK"),"N/A"))</f>
        <v/>
      </c>
      <c r="Q94" s="23">
        <f>IF(F94="Must",3,IF(F94="Should",2,IF(F94="Could",1,0)))</f>
        <v/>
      </c>
      <c r="R94" s="23">
        <f>IF(M94="","",IF(M94="OOTB",5,IF(M94="Konfigurace",3,IF(M94="Custom vývoj",1,IF(OR(M94="3rd party",M94="Nesplněno"),0,"")))))</f>
        <v/>
      </c>
      <c r="S94" s="24" t="n"/>
      <c r="T94" s="23">
        <f>IF(R94="","",IF(OR(P94="CHYBÍ odkaz FS",S94="Ne"),0,R94))</f>
        <v/>
      </c>
      <c r="U94" s="23">
        <f>IF(G94&lt;&gt;"Ano","",IF(M94="","",IF(OR(M94="Nesplněno",M94="3rd party",M94="Neakceptuje",S94="Ne",P94="CHYBÍ odkaz FS"),"FAIL",IF(M94="Akceptuje s výhradou","K VYJASNĚNÍ","PASS"))))</f>
        <v/>
      </c>
      <c r="V94" s="23">
        <f>IF(AND(J94="Byznys (30 %)",G94&lt;&gt;"Ano",ISNUMBER(T94)),T94*Q94,0)</f>
        <v/>
      </c>
      <c r="W94" s="23">
        <f>IF(AND(J94="Byznys (30 %)",G94&lt;&gt;"Ano",F94&lt;&gt;"Won't"),5*Q94,0)</f>
        <v/>
      </c>
      <c r="X94" s="25" t="n"/>
    </row>
    <row r="95">
      <c r="A95" s="18" t="n"/>
      <c r="B95" s="18" t="n"/>
      <c r="C95" s="19" t="n"/>
      <c r="D95" s="19" t="n"/>
      <c r="E95" s="18" t="n"/>
      <c r="F95" s="18" t="n"/>
      <c r="G95" s="18" t="n"/>
      <c r="H95" s="19" t="n"/>
      <c r="I95" s="18" t="n"/>
      <c r="J95" s="18" t="n"/>
      <c r="K95" s="18" t="n"/>
      <c r="L95" s="19" t="n"/>
      <c r="M95" s="21" t="n"/>
      <c r="N95" s="22" t="n"/>
      <c r="O95" s="21" t="n"/>
      <c r="P95" s="23">
        <f>IF(M95="","",IF(OR(M95="OOTB",M95="Konfigurace",M95="Custom vývoj"),IF(O95="","CHYBÍ odkaz FS","OK"),"N/A"))</f>
        <v/>
      </c>
      <c r="Q95" s="23">
        <f>IF(F95="Must",3,IF(F95="Should",2,IF(F95="Could",1,0)))</f>
        <v/>
      </c>
      <c r="R95" s="23">
        <f>IF(M95="","",IF(M95="OOTB",5,IF(M95="Konfigurace",3,IF(M95="Custom vývoj",1,IF(OR(M95="3rd party",M95="Nesplněno"),0,"")))))</f>
        <v/>
      </c>
      <c r="S95" s="24" t="n"/>
      <c r="T95" s="23">
        <f>IF(R95="","",IF(OR(P95="CHYBÍ odkaz FS",S95="Ne"),0,R95))</f>
        <v/>
      </c>
      <c r="U95" s="23">
        <f>IF(G95&lt;&gt;"Ano","",IF(M95="","",IF(OR(M95="Nesplněno",M95="3rd party",M95="Neakceptuje",S95="Ne",P95="CHYBÍ odkaz FS"),"FAIL",IF(M95="Akceptuje s výhradou","K VYJASNĚNÍ","PASS"))))</f>
        <v/>
      </c>
      <c r="V95" s="23">
        <f>IF(AND(J95="Byznys (30 %)",G95&lt;&gt;"Ano",ISNUMBER(T95)),T95*Q95,0)</f>
        <v/>
      </c>
      <c r="W95" s="23">
        <f>IF(AND(J95="Byznys (30 %)",G95&lt;&gt;"Ano",F95&lt;&gt;"Won't"),5*Q95,0)</f>
        <v/>
      </c>
      <c r="X95" s="25" t="n"/>
    </row>
    <row r="96">
      <c r="A96" s="18" t="n"/>
      <c r="B96" s="18" t="n"/>
      <c r="C96" s="19" t="n"/>
      <c r="D96" s="19" t="n"/>
      <c r="E96" s="18" t="n"/>
      <c r="F96" s="18" t="n"/>
      <c r="G96" s="18" t="n"/>
      <c r="H96" s="19" t="n"/>
      <c r="I96" s="18" t="n"/>
      <c r="J96" s="18" t="n"/>
      <c r="K96" s="18" t="n"/>
      <c r="L96" s="19" t="n"/>
      <c r="M96" s="21" t="n"/>
      <c r="N96" s="22" t="n"/>
      <c r="O96" s="21" t="n"/>
      <c r="P96" s="23">
        <f>IF(M96="","",IF(OR(M96="OOTB",M96="Konfigurace",M96="Custom vývoj"),IF(O96="","CHYBÍ odkaz FS","OK"),"N/A"))</f>
        <v/>
      </c>
      <c r="Q96" s="23">
        <f>IF(F96="Must",3,IF(F96="Should",2,IF(F96="Could",1,0)))</f>
        <v/>
      </c>
      <c r="R96" s="23">
        <f>IF(M96="","",IF(M96="OOTB",5,IF(M96="Konfigurace",3,IF(M96="Custom vývoj",1,IF(OR(M96="3rd party",M96="Nesplněno"),0,"")))))</f>
        <v/>
      </c>
      <c r="S96" s="24" t="n"/>
      <c r="T96" s="23">
        <f>IF(R96="","",IF(OR(P96="CHYBÍ odkaz FS",S96="Ne"),0,R96))</f>
        <v/>
      </c>
      <c r="U96" s="23">
        <f>IF(G96&lt;&gt;"Ano","",IF(M96="","",IF(OR(M96="Nesplněno",M96="3rd party",M96="Neakceptuje",S96="Ne",P96="CHYBÍ odkaz FS"),"FAIL",IF(M96="Akceptuje s výhradou","K VYJASNĚNÍ","PASS"))))</f>
        <v/>
      </c>
      <c r="V96" s="23">
        <f>IF(AND(J96="Byznys (30 %)",G96&lt;&gt;"Ano",ISNUMBER(T96)),T96*Q96,0)</f>
        <v/>
      </c>
      <c r="W96" s="23">
        <f>IF(AND(J96="Byznys (30 %)",G96&lt;&gt;"Ano",F96&lt;&gt;"Won't"),5*Q96,0)</f>
        <v/>
      </c>
      <c r="X96" s="25" t="n"/>
    </row>
    <row r="97">
      <c r="A97" s="18" t="n"/>
      <c r="B97" s="18" t="n"/>
      <c r="C97" s="19" t="n"/>
      <c r="D97" s="19" t="n"/>
      <c r="E97" s="18" t="n"/>
      <c r="F97" s="18" t="n"/>
      <c r="G97" s="18" t="n"/>
      <c r="H97" s="19" t="n"/>
      <c r="I97" s="18" t="n"/>
      <c r="J97" s="18" t="n"/>
      <c r="K97" s="18" t="n"/>
      <c r="L97" s="19" t="n"/>
      <c r="M97" s="21" t="n"/>
      <c r="N97" s="22" t="n"/>
      <c r="O97" s="21" t="n"/>
      <c r="P97" s="23">
        <f>IF(M97="","",IF(OR(M97="OOTB",M97="Konfigurace",M97="Custom vývoj"),IF(O97="","CHYBÍ odkaz FS","OK"),"N/A"))</f>
        <v/>
      </c>
      <c r="Q97" s="23">
        <f>IF(F97="Must",3,IF(F97="Should",2,IF(F97="Could",1,0)))</f>
        <v/>
      </c>
      <c r="R97" s="23">
        <f>IF(M97="","",IF(M97="OOTB",5,IF(M97="Konfigurace",3,IF(M97="Custom vývoj",1,IF(OR(M97="3rd party",M97="Nesplněno"),0,"")))))</f>
        <v/>
      </c>
      <c r="S97" s="24" t="n"/>
      <c r="T97" s="23">
        <f>IF(R97="","",IF(OR(P97="CHYBÍ odkaz FS",S97="Ne"),0,R97))</f>
        <v/>
      </c>
      <c r="U97" s="23">
        <f>IF(G97&lt;&gt;"Ano","",IF(M97="","",IF(OR(M97="Nesplněno",M97="3rd party",M97="Neakceptuje",S97="Ne",P97="CHYBÍ odkaz FS"),"FAIL",IF(M97="Akceptuje s výhradou","K VYJASNĚNÍ","PASS"))))</f>
        <v/>
      </c>
      <c r="V97" s="23">
        <f>IF(AND(J97="Byznys (30 %)",G97&lt;&gt;"Ano",ISNUMBER(T97)),T97*Q97,0)</f>
        <v/>
      </c>
      <c r="W97" s="23">
        <f>IF(AND(J97="Byznys (30 %)",G97&lt;&gt;"Ano",F97&lt;&gt;"Won't"),5*Q97,0)</f>
        <v/>
      </c>
      <c r="X97" s="25" t="n"/>
    </row>
    <row r="98">
      <c r="A98" s="18" t="n"/>
      <c r="B98" s="18" t="n"/>
      <c r="C98" s="19" t="n"/>
      <c r="D98" s="19" t="n"/>
      <c r="E98" s="18" t="n"/>
      <c r="F98" s="18" t="n"/>
      <c r="G98" s="18" t="n"/>
      <c r="H98" s="19" t="n"/>
      <c r="I98" s="18" t="n"/>
      <c r="J98" s="18" t="n"/>
      <c r="K98" s="18" t="n"/>
      <c r="L98" s="19" t="n"/>
      <c r="M98" s="21" t="n"/>
      <c r="N98" s="22" t="n"/>
      <c r="O98" s="21" t="n"/>
      <c r="P98" s="23">
        <f>IF(M98="","",IF(OR(M98="OOTB",M98="Konfigurace",M98="Custom vývoj"),IF(O98="","CHYBÍ odkaz FS","OK"),"N/A"))</f>
        <v/>
      </c>
      <c r="Q98" s="23">
        <f>IF(F98="Must",3,IF(F98="Should",2,IF(F98="Could",1,0)))</f>
        <v/>
      </c>
      <c r="R98" s="23">
        <f>IF(M98="","",IF(M98="OOTB",5,IF(M98="Konfigurace",3,IF(M98="Custom vývoj",1,IF(OR(M98="3rd party",M98="Nesplněno"),0,"")))))</f>
        <v/>
      </c>
      <c r="S98" s="24" t="n"/>
      <c r="T98" s="23">
        <f>IF(R98="","",IF(OR(P98="CHYBÍ odkaz FS",S98="Ne"),0,R98))</f>
        <v/>
      </c>
      <c r="U98" s="23">
        <f>IF(G98&lt;&gt;"Ano","",IF(M98="","",IF(OR(M98="Nesplněno",M98="3rd party",M98="Neakceptuje",S98="Ne",P98="CHYBÍ odkaz FS"),"FAIL",IF(M98="Akceptuje s výhradou","K VYJASNĚNÍ","PASS"))))</f>
        <v/>
      </c>
      <c r="V98" s="23">
        <f>IF(AND(J98="Byznys (30 %)",G98&lt;&gt;"Ano",ISNUMBER(T98)),T98*Q98,0)</f>
        <v/>
      </c>
      <c r="W98" s="23">
        <f>IF(AND(J98="Byznys (30 %)",G98&lt;&gt;"Ano",F98&lt;&gt;"Won't"),5*Q98,0)</f>
        <v/>
      </c>
      <c r="X98" s="25" t="n"/>
    </row>
    <row r="99">
      <c r="A99" s="18" t="n"/>
      <c r="B99" s="18" t="n"/>
      <c r="C99" s="19" t="n"/>
      <c r="D99" s="19" t="n"/>
      <c r="E99" s="18" t="n"/>
      <c r="F99" s="18" t="n"/>
      <c r="G99" s="18" t="n"/>
      <c r="H99" s="19" t="n"/>
      <c r="I99" s="18" t="n"/>
      <c r="J99" s="18" t="n"/>
      <c r="K99" s="18" t="n"/>
      <c r="L99" s="19" t="n"/>
      <c r="M99" s="21" t="n"/>
      <c r="N99" s="22" t="n"/>
      <c r="O99" s="21" t="n"/>
      <c r="P99" s="23">
        <f>IF(M99="","",IF(OR(M99="OOTB",M99="Konfigurace",M99="Custom vývoj"),IF(O99="","CHYBÍ odkaz FS","OK"),"N/A"))</f>
        <v/>
      </c>
      <c r="Q99" s="23">
        <f>IF(F99="Must",3,IF(F99="Should",2,IF(F99="Could",1,0)))</f>
        <v/>
      </c>
      <c r="R99" s="23">
        <f>IF(M99="","",IF(M99="OOTB",5,IF(M99="Konfigurace",3,IF(M99="Custom vývoj",1,IF(OR(M99="3rd party",M99="Nesplněno"),0,"")))))</f>
        <v/>
      </c>
      <c r="S99" s="24" t="n"/>
      <c r="T99" s="23">
        <f>IF(R99="","",IF(OR(P99="CHYBÍ odkaz FS",S99="Ne"),0,R99))</f>
        <v/>
      </c>
      <c r="U99" s="23">
        <f>IF(G99&lt;&gt;"Ano","",IF(M99="","",IF(OR(M99="Nesplněno",M99="3rd party",M99="Neakceptuje",S99="Ne",P99="CHYBÍ odkaz FS"),"FAIL",IF(M99="Akceptuje s výhradou","K VYJASNĚNÍ","PASS"))))</f>
        <v/>
      </c>
      <c r="V99" s="23">
        <f>IF(AND(J99="Byznys (30 %)",G99&lt;&gt;"Ano",ISNUMBER(T99)),T99*Q99,0)</f>
        <v/>
      </c>
      <c r="W99" s="23">
        <f>IF(AND(J99="Byznys (30 %)",G99&lt;&gt;"Ano",F99&lt;&gt;"Won't"),5*Q99,0)</f>
        <v/>
      </c>
      <c r="X99" s="25" t="n"/>
    </row>
    <row r="100">
      <c r="A100" s="18" t="n"/>
      <c r="B100" s="18" t="n"/>
      <c r="C100" s="19" t="n"/>
      <c r="D100" s="19" t="n"/>
      <c r="E100" s="18" t="n"/>
      <c r="F100" s="18" t="n"/>
      <c r="G100" s="18" t="n"/>
      <c r="H100" s="19" t="n"/>
      <c r="I100" s="18" t="n"/>
      <c r="J100" s="18" t="n"/>
      <c r="K100" s="18" t="n"/>
      <c r="L100" s="19" t="n"/>
      <c r="M100" s="21" t="n"/>
      <c r="N100" s="22" t="n"/>
      <c r="O100" s="21" t="n"/>
      <c r="P100" s="23">
        <f>IF(M100="","",IF(OR(M100="OOTB",M100="Konfigurace",M100="Custom vývoj"),IF(O100="","CHYBÍ odkaz FS","OK"),"N/A"))</f>
        <v/>
      </c>
      <c r="Q100" s="23">
        <f>IF(F100="Must",3,IF(F100="Should",2,IF(F100="Could",1,0)))</f>
        <v/>
      </c>
      <c r="R100" s="23">
        <f>IF(M100="","",IF(M100="OOTB",5,IF(M100="Konfigurace",3,IF(M100="Custom vývoj",1,IF(OR(M100="3rd party",M100="Nesplněno"),0,"")))))</f>
        <v/>
      </c>
      <c r="S100" s="24" t="n"/>
      <c r="T100" s="23">
        <f>IF(R100="","",IF(OR(P100="CHYBÍ odkaz FS",S100="Ne"),0,R100))</f>
        <v/>
      </c>
      <c r="U100" s="23">
        <f>IF(G100&lt;&gt;"Ano","",IF(M100="","",IF(OR(M100="Nesplněno",M100="3rd party",M100="Neakceptuje",S100="Ne",P100="CHYBÍ odkaz FS"),"FAIL",IF(M100="Akceptuje s výhradou","K VYJASNĚNÍ","PASS"))))</f>
        <v/>
      </c>
      <c r="V100" s="23">
        <f>IF(AND(J100="Byznys (30 %)",G100&lt;&gt;"Ano",ISNUMBER(T100)),T100*Q100,0)</f>
        <v/>
      </c>
      <c r="W100" s="23">
        <f>IF(AND(J100="Byznys (30 %)",G100&lt;&gt;"Ano",F100&lt;&gt;"Won't"),5*Q100,0)</f>
        <v/>
      </c>
      <c r="X100" s="25" t="n"/>
    </row>
    <row r="101">
      <c r="A101" s="18" t="n"/>
      <c r="B101" s="18" t="n"/>
      <c r="C101" s="19" t="n"/>
      <c r="D101" s="19" t="n"/>
      <c r="E101" s="18" t="n"/>
      <c r="F101" s="18" t="n"/>
      <c r="G101" s="18" t="n"/>
      <c r="H101" s="19" t="n"/>
      <c r="I101" s="18" t="n"/>
      <c r="J101" s="18" t="n"/>
      <c r="K101" s="18" t="n"/>
      <c r="L101" s="19" t="n"/>
      <c r="M101" s="21" t="n"/>
      <c r="N101" s="22" t="n"/>
      <c r="O101" s="21" t="n"/>
      <c r="P101" s="23">
        <f>IF(M101="","",IF(OR(M101="OOTB",M101="Konfigurace",M101="Custom vývoj"),IF(O101="","CHYBÍ odkaz FS","OK"),"N/A"))</f>
        <v/>
      </c>
      <c r="Q101" s="23">
        <f>IF(F101="Must",3,IF(F101="Should",2,IF(F101="Could",1,0)))</f>
        <v/>
      </c>
      <c r="R101" s="23">
        <f>IF(M101="","",IF(M101="OOTB",5,IF(M101="Konfigurace",3,IF(M101="Custom vývoj",1,IF(OR(M101="3rd party",M101="Nesplněno"),0,"")))))</f>
        <v/>
      </c>
      <c r="S101" s="24" t="n"/>
      <c r="T101" s="23">
        <f>IF(R101="","",IF(OR(P101="CHYBÍ odkaz FS",S101="Ne"),0,R101))</f>
        <v/>
      </c>
      <c r="U101" s="23">
        <f>IF(G101&lt;&gt;"Ano","",IF(M101="","",IF(OR(M101="Nesplněno",M101="3rd party",M101="Neakceptuje",S101="Ne",P101="CHYBÍ odkaz FS"),"FAIL",IF(M101="Akceptuje s výhradou","K VYJASNĚNÍ","PASS"))))</f>
        <v/>
      </c>
      <c r="V101" s="23">
        <f>IF(AND(J101="Byznys (30 %)",G101&lt;&gt;"Ano",ISNUMBER(T101)),T101*Q101,0)</f>
        <v/>
      </c>
      <c r="W101" s="23">
        <f>IF(AND(J101="Byznys (30 %)",G101&lt;&gt;"Ano",F101&lt;&gt;"Won't"),5*Q101,0)</f>
        <v/>
      </c>
      <c r="X101" s="25" t="n"/>
    </row>
    <row r="102">
      <c r="A102" s="18" t="n"/>
      <c r="B102" s="18" t="n"/>
      <c r="C102" s="19" t="n"/>
      <c r="D102" s="19" t="n"/>
      <c r="E102" s="18" t="n"/>
      <c r="F102" s="18" t="n"/>
      <c r="G102" s="18" t="n"/>
      <c r="H102" s="19" t="n"/>
      <c r="I102" s="18" t="n"/>
      <c r="J102" s="18" t="n"/>
      <c r="K102" s="18" t="n"/>
      <c r="L102" s="19" t="n"/>
      <c r="M102" s="21" t="n"/>
      <c r="N102" s="22" t="n"/>
      <c r="O102" s="21" t="n"/>
      <c r="P102" s="23">
        <f>IF(M102="","",IF(OR(M102="OOTB",M102="Konfigurace",M102="Custom vývoj"),IF(O102="","CHYBÍ odkaz FS","OK"),"N/A"))</f>
        <v/>
      </c>
      <c r="Q102" s="23">
        <f>IF(F102="Must",3,IF(F102="Should",2,IF(F102="Could",1,0)))</f>
        <v/>
      </c>
      <c r="R102" s="23">
        <f>IF(M102="","",IF(M102="OOTB",5,IF(M102="Konfigurace",3,IF(M102="Custom vývoj",1,IF(OR(M102="3rd party",M102="Nesplněno"),0,"")))))</f>
        <v/>
      </c>
      <c r="S102" s="24" t="n"/>
      <c r="T102" s="23">
        <f>IF(R102="","",IF(OR(P102="CHYBÍ odkaz FS",S102="Ne"),0,R102))</f>
        <v/>
      </c>
      <c r="U102" s="23">
        <f>IF(G102&lt;&gt;"Ano","",IF(M102="","",IF(OR(M102="Nesplněno",M102="3rd party",M102="Neakceptuje",S102="Ne",P102="CHYBÍ odkaz FS"),"FAIL",IF(M102="Akceptuje s výhradou","K VYJASNĚNÍ","PASS"))))</f>
        <v/>
      </c>
      <c r="V102" s="23">
        <f>IF(AND(J102="Byznys (30 %)",G102&lt;&gt;"Ano",ISNUMBER(T102)),T102*Q102,0)</f>
        <v/>
      </c>
      <c r="W102" s="23">
        <f>IF(AND(J102="Byznys (30 %)",G102&lt;&gt;"Ano",F102&lt;&gt;"Won't"),5*Q102,0)</f>
        <v/>
      </c>
      <c r="X102" s="25" t="n"/>
    </row>
    <row r="103">
      <c r="A103" s="18" t="n"/>
      <c r="B103" s="18" t="n"/>
      <c r="C103" s="19" t="n"/>
      <c r="D103" s="19" t="n"/>
      <c r="E103" s="18" t="n"/>
      <c r="F103" s="18" t="n"/>
      <c r="G103" s="18" t="n"/>
      <c r="H103" s="19" t="n"/>
      <c r="I103" s="18" t="n"/>
      <c r="J103" s="18" t="n"/>
      <c r="K103" s="18" t="n"/>
      <c r="L103" s="19" t="n"/>
      <c r="M103" s="21" t="n"/>
      <c r="N103" s="22" t="n"/>
      <c r="O103" s="21" t="n"/>
      <c r="P103" s="23">
        <f>IF(M103="","",IF(OR(M103="OOTB",M103="Konfigurace",M103="Custom vývoj"),IF(O103="","CHYBÍ odkaz FS","OK"),"N/A"))</f>
        <v/>
      </c>
      <c r="Q103" s="23">
        <f>IF(F103="Must",3,IF(F103="Should",2,IF(F103="Could",1,0)))</f>
        <v/>
      </c>
      <c r="R103" s="23">
        <f>IF(M103="","",IF(M103="OOTB",5,IF(M103="Konfigurace",3,IF(M103="Custom vývoj",1,IF(OR(M103="3rd party",M103="Nesplněno"),0,"")))))</f>
        <v/>
      </c>
      <c r="S103" s="24" t="n"/>
      <c r="T103" s="23">
        <f>IF(R103="","",IF(OR(P103="CHYBÍ odkaz FS",S103="Ne"),0,R103))</f>
        <v/>
      </c>
      <c r="U103" s="23">
        <f>IF(G103&lt;&gt;"Ano","",IF(M103="","",IF(OR(M103="Nesplněno",M103="3rd party",M103="Neakceptuje",S103="Ne",P103="CHYBÍ odkaz FS"),"FAIL",IF(M103="Akceptuje s výhradou","K VYJASNĚNÍ","PASS"))))</f>
        <v/>
      </c>
      <c r="V103" s="23">
        <f>IF(AND(J103="Byznys (30 %)",G103&lt;&gt;"Ano",ISNUMBER(T103)),T103*Q103,0)</f>
        <v/>
      </c>
      <c r="W103" s="23">
        <f>IF(AND(J103="Byznys (30 %)",G103&lt;&gt;"Ano",F103&lt;&gt;"Won't"),5*Q103,0)</f>
        <v/>
      </c>
      <c r="X103" s="25" t="n"/>
    </row>
    <row r="104">
      <c r="A104" s="18" t="n"/>
      <c r="B104" s="18" t="n"/>
      <c r="C104" s="19" t="n"/>
      <c r="D104" s="19" t="n"/>
      <c r="E104" s="18" t="n"/>
      <c r="F104" s="18" t="n"/>
      <c r="G104" s="18" t="n"/>
      <c r="H104" s="19" t="n"/>
      <c r="I104" s="18" t="n"/>
      <c r="J104" s="18" t="n"/>
      <c r="K104" s="18" t="n"/>
      <c r="L104" s="19" t="n"/>
      <c r="M104" s="21" t="n"/>
      <c r="N104" s="22" t="n"/>
      <c r="O104" s="21" t="n"/>
      <c r="P104" s="23">
        <f>IF(M104="","",IF(OR(M104="OOTB",M104="Konfigurace",M104="Custom vývoj"),IF(O104="","CHYBÍ odkaz FS","OK"),"N/A"))</f>
        <v/>
      </c>
      <c r="Q104" s="23">
        <f>IF(F104="Must",3,IF(F104="Should",2,IF(F104="Could",1,0)))</f>
        <v/>
      </c>
      <c r="R104" s="23">
        <f>IF(M104="","",IF(M104="OOTB",5,IF(M104="Konfigurace",3,IF(M104="Custom vývoj",1,IF(OR(M104="3rd party",M104="Nesplněno"),0,"")))))</f>
        <v/>
      </c>
      <c r="S104" s="24" t="n"/>
      <c r="T104" s="23">
        <f>IF(R104="","",IF(OR(P104="CHYBÍ odkaz FS",S104="Ne"),0,R104))</f>
        <v/>
      </c>
      <c r="U104" s="23">
        <f>IF(G104&lt;&gt;"Ano","",IF(M104="","",IF(OR(M104="Nesplněno",M104="3rd party",M104="Neakceptuje",S104="Ne",P104="CHYBÍ odkaz FS"),"FAIL",IF(M104="Akceptuje s výhradou","K VYJASNĚNÍ","PASS"))))</f>
        <v/>
      </c>
      <c r="V104" s="23">
        <f>IF(AND(J104="Byznys (30 %)",G104&lt;&gt;"Ano",ISNUMBER(T104)),T104*Q104,0)</f>
        <v/>
      </c>
      <c r="W104" s="23">
        <f>IF(AND(J104="Byznys (30 %)",G104&lt;&gt;"Ano",F104&lt;&gt;"Won't"),5*Q104,0)</f>
        <v/>
      </c>
      <c r="X104" s="25" t="n"/>
    </row>
    <row r="105">
      <c r="A105" s="18" t="n"/>
      <c r="B105" s="18" t="n"/>
      <c r="C105" s="19" t="n"/>
      <c r="D105" s="19" t="n"/>
      <c r="E105" s="18" t="n"/>
      <c r="F105" s="18" t="n"/>
      <c r="G105" s="18" t="n"/>
      <c r="H105" s="19" t="n"/>
      <c r="I105" s="18" t="n"/>
      <c r="J105" s="18" t="n"/>
      <c r="K105" s="18" t="n"/>
      <c r="L105" s="19" t="n"/>
      <c r="M105" s="21" t="n"/>
      <c r="N105" s="22" t="n"/>
      <c r="O105" s="21" t="n"/>
      <c r="P105" s="23">
        <f>IF(M105="","",IF(OR(M105="OOTB",M105="Konfigurace",M105="Custom vývoj"),IF(O105="","CHYBÍ odkaz FS","OK"),"N/A"))</f>
        <v/>
      </c>
      <c r="Q105" s="23">
        <f>IF(F105="Must",3,IF(F105="Should",2,IF(F105="Could",1,0)))</f>
        <v/>
      </c>
      <c r="R105" s="23">
        <f>IF(M105="","",IF(M105="OOTB",5,IF(M105="Konfigurace",3,IF(M105="Custom vývoj",1,IF(OR(M105="3rd party",M105="Nesplněno"),0,"")))))</f>
        <v/>
      </c>
      <c r="S105" s="24" t="n"/>
      <c r="T105" s="23">
        <f>IF(R105="","",IF(OR(P105="CHYBÍ odkaz FS",S105="Ne"),0,R105))</f>
        <v/>
      </c>
      <c r="U105" s="23">
        <f>IF(G105&lt;&gt;"Ano","",IF(M105="","",IF(OR(M105="Nesplněno",M105="3rd party",M105="Neakceptuje",S105="Ne",P105="CHYBÍ odkaz FS"),"FAIL",IF(M105="Akceptuje s výhradou","K VYJASNĚNÍ","PASS"))))</f>
        <v/>
      </c>
      <c r="V105" s="23">
        <f>IF(AND(J105="Byznys (30 %)",G105&lt;&gt;"Ano",ISNUMBER(T105)),T105*Q105,0)</f>
        <v/>
      </c>
      <c r="W105" s="23">
        <f>IF(AND(J105="Byznys (30 %)",G105&lt;&gt;"Ano",F105&lt;&gt;"Won't"),5*Q105,0)</f>
        <v/>
      </c>
      <c r="X105" s="25" t="n"/>
    </row>
    <row r="106">
      <c r="A106" s="18" t="n"/>
      <c r="B106" s="18" t="n"/>
      <c r="C106" s="19" t="n"/>
      <c r="D106" s="19" t="n"/>
      <c r="E106" s="18" t="n"/>
      <c r="F106" s="18" t="n"/>
      <c r="G106" s="18" t="n"/>
      <c r="H106" s="19" t="n"/>
      <c r="I106" s="18" t="n"/>
      <c r="J106" s="18" t="n"/>
      <c r="K106" s="18" t="n"/>
      <c r="L106" s="19" t="n"/>
      <c r="M106" s="21" t="n"/>
      <c r="N106" s="22" t="n"/>
      <c r="O106" s="21" t="n"/>
      <c r="P106" s="23">
        <f>IF(M106="","",IF(OR(M106="OOTB",M106="Konfigurace",M106="Custom vývoj"),IF(O106="","CHYBÍ odkaz FS","OK"),"N/A"))</f>
        <v/>
      </c>
      <c r="Q106" s="23">
        <f>IF(F106="Must",3,IF(F106="Should",2,IF(F106="Could",1,0)))</f>
        <v/>
      </c>
      <c r="R106" s="23">
        <f>IF(M106="","",IF(M106="OOTB",5,IF(M106="Konfigurace",3,IF(M106="Custom vývoj",1,IF(OR(M106="3rd party",M106="Nesplněno"),0,"")))))</f>
        <v/>
      </c>
      <c r="S106" s="24" t="n"/>
      <c r="T106" s="23">
        <f>IF(R106="","",IF(OR(P106="CHYBÍ odkaz FS",S106="Ne"),0,R106))</f>
        <v/>
      </c>
      <c r="U106" s="23">
        <f>IF(G106&lt;&gt;"Ano","",IF(M106="","",IF(OR(M106="Nesplněno",M106="3rd party",M106="Neakceptuje",S106="Ne",P106="CHYBÍ odkaz FS"),"FAIL",IF(M106="Akceptuje s výhradou","K VYJASNĚNÍ","PASS"))))</f>
        <v/>
      </c>
      <c r="V106" s="23">
        <f>IF(AND(J106="Byznys (30 %)",G106&lt;&gt;"Ano",ISNUMBER(T106)),T106*Q106,0)</f>
        <v/>
      </c>
      <c r="W106" s="23">
        <f>IF(AND(J106="Byznys (30 %)",G106&lt;&gt;"Ano",F106&lt;&gt;"Won't"),5*Q106,0)</f>
        <v/>
      </c>
      <c r="X106" s="25" t="n"/>
    </row>
    <row r="107">
      <c r="A107" s="18" t="n"/>
      <c r="B107" s="18" t="n"/>
      <c r="C107" s="19" t="n"/>
      <c r="D107" s="19" t="n"/>
      <c r="E107" s="18" t="n"/>
      <c r="F107" s="18" t="n"/>
      <c r="G107" s="18" t="n"/>
      <c r="H107" s="19" t="n"/>
      <c r="I107" s="18" t="n"/>
      <c r="J107" s="18" t="n"/>
      <c r="K107" s="18" t="n"/>
      <c r="L107" s="19" t="n"/>
      <c r="M107" s="21" t="n"/>
      <c r="N107" s="22" t="n"/>
      <c r="O107" s="21" t="n"/>
      <c r="P107" s="23">
        <f>IF(M107="","",IF(OR(M107="OOTB",M107="Konfigurace",M107="Custom vývoj"),IF(O107="","CHYBÍ odkaz FS","OK"),"N/A"))</f>
        <v/>
      </c>
      <c r="Q107" s="23">
        <f>IF(F107="Must",3,IF(F107="Should",2,IF(F107="Could",1,0)))</f>
        <v/>
      </c>
      <c r="R107" s="23">
        <f>IF(M107="","",IF(M107="OOTB",5,IF(M107="Konfigurace",3,IF(M107="Custom vývoj",1,IF(OR(M107="3rd party",M107="Nesplněno"),0,"")))))</f>
        <v/>
      </c>
      <c r="S107" s="24" t="n"/>
      <c r="T107" s="23">
        <f>IF(R107="","",IF(OR(P107="CHYBÍ odkaz FS",S107="Ne"),0,R107))</f>
        <v/>
      </c>
      <c r="U107" s="23">
        <f>IF(G107&lt;&gt;"Ano","",IF(M107="","",IF(OR(M107="Nesplněno",M107="3rd party",M107="Neakceptuje",S107="Ne",P107="CHYBÍ odkaz FS"),"FAIL",IF(M107="Akceptuje s výhradou","K VYJASNĚNÍ","PASS"))))</f>
        <v/>
      </c>
      <c r="V107" s="23">
        <f>IF(AND(J107="Byznys (30 %)",G107&lt;&gt;"Ano",ISNUMBER(T107)),T107*Q107,0)</f>
        <v/>
      </c>
      <c r="W107" s="23">
        <f>IF(AND(J107="Byznys (30 %)",G107&lt;&gt;"Ano",F107&lt;&gt;"Won't"),5*Q107,0)</f>
        <v/>
      </c>
      <c r="X107" s="25" t="n"/>
    </row>
    <row r="108">
      <c r="A108" s="18" t="n"/>
      <c r="B108" s="18" t="n"/>
      <c r="C108" s="19" t="n"/>
      <c r="D108" s="19" t="n"/>
      <c r="E108" s="18" t="n"/>
      <c r="F108" s="18" t="n"/>
      <c r="G108" s="18" t="n"/>
      <c r="H108" s="19" t="n"/>
      <c r="I108" s="18" t="n"/>
      <c r="J108" s="18" t="n"/>
      <c r="K108" s="18" t="n"/>
      <c r="L108" s="19" t="n"/>
      <c r="M108" s="21" t="n"/>
      <c r="N108" s="22" t="n"/>
      <c r="O108" s="21" t="n"/>
      <c r="P108" s="23">
        <f>IF(M108="","",IF(OR(M108="OOTB",M108="Konfigurace",M108="Custom vývoj"),IF(O108="","CHYBÍ odkaz FS","OK"),"N/A"))</f>
        <v/>
      </c>
      <c r="Q108" s="23">
        <f>IF(F108="Must",3,IF(F108="Should",2,IF(F108="Could",1,0)))</f>
        <v/>
      </c>
      <c r="R108" s="23">
        <f>IF(M108="","",IF(M108="OOTB",5,IF(M108="Konfigurace",3,IF(M108="Custom vývoj",1,IF(OR(M108="3rd party",M108="Nesplněno"),0,"")))))</f>
        <v/>
      </c>
      <c r="S108" s="24" t="n"/>
      <c r="T108" s="23">
        <f>IF(R108="","",IF(OR(P108="CHYBÍ odkaz FS",S108="Ne"),0,R108))</f>
        <v/>
      </c>
      <c r="U108" s="23">
        <f>IF(G108&lt;&gt;"Ano","",IF(M108="","",IF(OR(M108="Nesplněno",M108="3rd party",M108="Neakceptuje",S108="Ne",P108="CHYBÍ odkaz FS"),"FAIL",IF(M108="Akceptuje s výhradou","K VYJASNĚNÍ","PASS"))))</f>
        <v/>
      </c>
      <c r="V108" s="23">
        <f>IF(AND(J108="Byznys (30 %)",G108&lt;&gt;"Ano",ISNUMBER(T108)),T108*Q108,0)</f>
        <v/>
      </c>
      <c r="W108" s="23">
        <f>IF(AND(J108="Byznys (30 %)",G108&lt;&gt;"Ano",F108&lt;&gt;"Won't"),5*Q108,0)</f>
        <v/>
      </c>
      <c r="X108" s="25" t="n"/>
    </row>
    <row r="109">
      <c r="A109" s="18" t="n"/>
      <c r="B109" s="18" t="n"/>
      <c r="C109" s="19" t="n"/>
      <c r="D109" s="19" t="n"/>
      <c r="E109" s="18" t="n"/>
      <c r="F109" s="18" t="n"/>
      <c r="G109" s="18" t="n"/>
      <c r="H109" s="19" t="n"/>
      <c r="I109" s="18" t="n"/>
      <c r="J109" s="18" t="n"/>
      <c r="K109" s="18" t="n"/>
      <c r="L109" s="19" t="n"/>
      <c r="M109" s="21" t="n"/>
      <c r="N109" s="22" t="n"/>
      <c r="O109" s="21" t="n"/>
      <c r="P109" s="23">
        <f>IF(M109="","",IF(OR(M109="OOTB",M109="Konfigurace",M109="Custom vývoj"),IF(O109="","CHYBÍ odkaz FS","OK"),"N/A"))</f>
        <v/>
      </c>
      <c r="Q109" s="23">
        <f>IF(F109="Must",3,IF(F109="Should",2,IF(F109="Could",1,0)))</f>
        <v/>
      </c>
      <c r="R109" s="23">
        <f>IF(M109="","",IF(M109="OOTB",5,IF(M109="Konfigurace",3,IF(M109="Custom vývoj",1,IF(OR(M109="3rd party",M109="Nesplněno"),0,"")))))</f>
        <v/>
      </c>
      <c r="S109" s="24" t="n"/>
      <c r="T109" s="23">
        <f>IF(R109="","",IF(OR(P109="CHYBÍ odkaz FS",S109="Ne"),0,R109))</f>
        <v/>
      </c>
      <c r="U109" s="23">
        <f>IF(G109&lt;&gt;"Ano","",IF(M109="","",IF(OR(M109="Nesplněno",M109="3rd party",M109="Neakceptuje",S109="Ne",P109="CHYBÍ odkaz FS"),"FAIL",IF(M109="Akceptuje s výhradou","K VYJASNĚNÍ","PASS"))))</f>
        <v/>
      </c>
      <c r="V109" s="23">
        <f>IF(AND(J109="Byznys (30 %)",G109&lt;&gt;"Ano",ISNUMBER(T109)),T109*Q109,0)</f>
        <v/>
      </c>
      <c r="W109" s="23">
        <f>IF(AND(J109="Byznys (30 %)",G109&lt;&gt;"Ano",F109&lt;&gt;"Won't"),5*Q109,0)</f>
        <v/>
      </c>
      <c r="X109" s="25" t="n"/>
    </row>
    <row r="110">
      <c r="A110" s="18" t="n"/>
      <c r="B110" s="18" t="n"/>
      <c r="C110" s="19" t="n"/>
      <c r="D110" s="19" t="n"/>
      <c r="E110" s="18" t="n"/>
      <c r="F110" s="18" t="n"/>
      <c r="G110" s="18" t="n"/>
      <c r="H110" s="19" t="n"/>
      <c r="I110" s="18" t="n"/>
      <c r="J110" s="18" t="n"/>
      <c r="K110" s="18" t="n"/>
      <c r="L110" s="19" t="n"/>
      <c r="M110" s="21" t="n"/>
      <c r="N110" s="22" t="n"/>
      <c r="O110" s="21" t="n"/>
      <c r="P110" s="23">
        <f>IF(M110="","",IF(OR(M110="OOTB",M110="Konfigurace",M110="Custom vývoj"),IF(O110="","CHYBÍ odkaz FS","OK"),"N/A"))</f>
        <v/>
      </c>
      <c r="Q110" s="23">
        <f>IF(F110="Must",3,IF(F110="Should",2,IF(F110="Could",1,0)))</f>
        <v/>
      </c>
      <c r="R110" s="23">
        <f>IF(M110="","",IF(M110="OOTB",5,IF(M110="Konfigurace",3,IF(M110="Custom vývoj",1,IF(OR(M110="3rd party",M110="Nesplněno"),0,"")))))</f>
        <v/>
      </c>
      <c r="S110" s="24" t="n"/>
      <c r="T110" s="23">
        <f>IF(R110="","",IF(OR(P110="CHYBÍ odkaz FS",S110="Ne"),0,R110))</f>
        <v/>
      </c>
      <c r="U110" s="23">
        <f>IF(G110&lt;&gt;"Ano","",IF(M110="","",IF(OR(M110="Nesplněno",M110="3rd party",M110="Neakceptuje",S110="Ne",P110="CHYBÍ odkaz FS"),"FAIL",IF(M110="Akceptuje s výhradou","K VYJASNĚNÍ","PASS"))))</f>
        <v/>
      </c>
      <c r="V110" s="23">
        <f>IF(AND(J110="Byznys (30 %)",G110&lt;&gt;"Ano",ISNUMBER(T110)),T110*Q110,0)</f>
        <v/>
      </c>
      <c r="W110" s="23">
        <f>IF(AND(J110="Byznys (30 %)",G110&lt;&gt;"Ano",F110&lt;&gt;"Won't"),5*Q110,0)</f>
        <v/>
      </c>
      <c r="X110" s="25" t="n"/>
    </row>
    <row r="111">
      <c r="A111" s="18" t="n"/>
      <c r="B111" s="18" t="n"/>
      <c r="C111" s="19" t="n"/>
      <c r="D111" s="19" t="n"/>
      <c r="E111" s="18" t="n"/>
      <c r="F111" s="18" t="n"/>
      <c r="G111" s="18" t="n"/>
      <c r="H111" s="19" t="n"/>
      <c r="I111" s="18" t="n"/>
      <c r="J111" s="18" t="n"/>
      <c r="K111" s="18" t="n"/>
      <c r="L111" s="19" t="n"/>
      <c r="M111" s="21" t="n"/>
      <c r="N111" s="22" t="n"/>
      <c r="O111" s="21" t="n"/>
      <c r="P111" s="23">
        <f>IF(M111="","",IF(OR(M111="OOTB",M111="Konfigurace",M111="Custom vývoj"),IF(O111="","CHYBÍ odkaz FS","OK"),"N/A"))</f>
        <v/>
      </c>
      <c r="Q111" s="23">
        <f>IF(F111="Must",3,IF(F111="Should",2,IF(F111="Could",1,0)))</f>
        <v/>
      </c>
      <c r="R111" s="23">
        <f>IF(M111="","",IF(M111="OOTB",5,IF(M111="Konfigurace",3,IF(M111="Custom vývoj",1,IF(OR(M111="3rd party",M111="Nesplněno"),0,"")))))</f>
        <v/>
      </c>
      <c r="S111" s="24" t="n"/>
      <c r="T111" s="23">
        <f>IF(R111="","",IF(OR(P111="CHYBÍ odkaz FS",S111="Ne"),0,R111))</f>
        <v/>
      </c>
      <c r="U111" s="23">
        <f>IF(G111&lt;&gt;"Ano","",IF(M111="","",IF(OR(M111="Nesplněno",M111="3rd party",M111="Neakceptuje",S111="Ne",P111="CHYBÍ odkaz FS"),"FAIL",IF(M111="Akceptuje s výhradou","K VYJASNĚNÍ","PASS"))))</f>
        <v/>
      </c>
      <c r="V111" s="23">
        <f>IF(AND(J111="Byznys (30 %)",G111&lt;&gt;"Ano",ISNUMBER(T111)),T111*Q111,0)</f>
        <v/>
      </c>
      <c r="W111" s="23">
        <f>IF(AND(J111="Byznys (30 %)",G111&lt;&gt;"Ano",F111&lt;&gt;"Won't"),5*Q111,0)</f>
        <v/>
      </c>
      <c r="X111" s="25" t="n"/>
    </row>
    <row r="112">
      <c r="A112" s="18" t="n"/>
      <c r="B112" s="18" t="n"/>
      <c r="C112" s="19" t="n"/>
      <c r="D112" s="19" t="n"/>
      <c r="E112" s="18" t="n"/>
      <c r="F112" s="18" t="n"/>
      <c r="G112" s="18" t="n"/>
      <c r="H112" s="19" t="n"/>
      <c r="I112" s="18" t="n"/>
      <c r="J112" s="18" t="n"/>
      <c r="K112" s="18" t="n"/>
      <c r="L112" s="19" t="n"/>
      <c r="M112" s="21" t="n"/>
      <c r="N112" s="22" t="n"/>
      <c r="O112" s="21" t="n"/>
      <c r="P112" s="23">
        <f>IF(M112="","",IF(OR(M112="OOTB",M112="Konfigurace",M112="Custom vývoj"),IF(O112="","CHYBÍ odkaz FS","OK"),"N/A"))</f>
        <v/>
      </c>
      <c r="Q112" s="23">
        <f>IF(F112="Must",3,IF(F112="Should",2,IF(F112="Could",1,0)))</f>
        <v/>
      </c>
      <c r="R112" s="23">
        <f>IF(M112="","",IF(M112="OOTB",5,IF(M112="Konfigurace",3,IF(M112="Custom vývoj",1,IF(OR(M112="3rd party",M112="Nesplněno"),0,"")))))</f>
        <v/>
      </c>
      <c r="S112" s="24" t="n"/>
      <c r="T112" s="23">
        <f>IF(R112="","",IF(OR(P112="CHYBÍ odkaz FS",S112="Ne"),0,R112))</f>
        <v/>
      </c>
      <c r="U112" s="23">
        <f>IF(G112&lt;&gt;"Ano","",IF(M112="","",IF(OR(M112="Nesplněno",M112="3rd party",M112="Neakceptuje",S112="Ne",P112="CHYBÍ odkaz FS"),"FAIL",IF(M112="Akceptuje s výhradou","K VYJASNĚNÍ","PASS"))))</f>
        <v/>
      </c>
      <c r="V112" s="23">
        <f>IF(AND(J112="Byznys (30 %)",G112&lt;&gt;"Ano",ISNUMBER(T112)),T112*Q112,0)</f>
        <v/>
      </c>
      <c r="W112" s="23">
        <f>IF(AND(J112="Byznys (30 %)",G112&lt;&gt;"Ano",F112&lt;&gt;"Won't"),5*Q112,0)</f>
        <v/>
      </c>
      <c r="X112" s="25" t="n"/>
    </row>
    <row r="113">
      <c r="A113" s="18" t="n"/>
      <c r="B113" s="18" t="n"/>
      <c r="C113" s="19" t="n"/>
      <c r="D113" s="19" t="n"/>
      <c r="E113" s="18" t="n"/>
      <c r="F113" s="18" t="n"/>
      <c r="G113" s="18" t="n"/>
      <c r="H113" s="19" t="n"/>
      <c r="I113" s="18" t="n"/>
      <c r="J113" s="18" t="n"/>
      <c r="K113" s="18" t="n"/>
      <c r="L113" s="19" t="n"/>
      <c r="M113" s="21" t="n"/>
      <c r="N113" s="22" t="n"/>
      <c r="O113" s="21" t="n"/>
      <c r="P113" s="23">
        <f>IF(M113="","",IF(OR(M113="OOTB",M113="Konfigurace",M113="Custom vývoj"),IF(O113="","CHYBÍ odkaz FS","OK"),"N/A"))</f>
        <v/>
      </c>
      <c r="Q113" s="23">
        <f>IF(F113="Must",3,IF(F113="Should",2,IF(F113="Could",1,0)))</f>
        <v/>
      </c>
      <c r="R113" s="23">
        <f>IF(M113="","",IF(M113="OOTB",5,IF(M113="Konfigurace",3,IF(M113="Custom vývoj",1,IF(OR(M113="3rd party",M113="Nesplněno"),0,"")))))</f>
        <v/>
      </c>
      <c r="S113" s="24" t="n"/>
      <c r="T113" s="23">
        <f>IF(R113="","",IF(OR(P113="CHYBÍ odkaz FS",S113="Ne"),0,R113))</f>
        <v/>
      </c>
      <c r="U113" s="23">
        <f>IF(G113&lt;&gt;"Ano","",IF(M113="","",IF(OR(M113="Nesplněno",M113="3rd party",M113="Neakceptuje",S113="Ne",P113="CHYBÍ odkaz FS"),"FAIL",IF(M113="Akceptuje s výhradou","K VYJASNĚNÍ","PASS"))))</f>
        <v/>
      </c>
      <c r="V113" s="23">
        <f>IF(AND(J113="Byznys (30 %)",G113&lt;&gt;"Ano",ISNUMBER(T113)),T113*Q113,0)</f>
        <v/>
      </c>
      <c r="W113" s="23">
        <f>IF(AND(J113="Byznys (30 %)",G113&lt;&gt;"Ano",F113&lt;&gt;"Won't"),5*Q113,0)</f>
        <v/>
      </c>
      <c r="X113" s="25" t="n"/>
    </row>
    <row r="114">
      <c r="A114" s="18" t="n"/>
      <c r="B114" s="18" t="n"/>
      <c r="C114" s="19" t="n"/>
      <c r="D114" s="19" t="n"/>
      <c r="E114" s="18" t="n"/>
      <c r="F114" s="18" t="n"/>
      <c r="G114" s="18" t="n"/>
      <c r="H114" s="19" t="n"/>
      <c r="I114" s="18" t="n"/>
      <c r="J114" s="18" t="n"/>
      <c r="K114" s="18" t="n"/>
      <c r="L114" s="19" t="n"/>
      <c r="M114" s="21" t="n"/>
      <c r="N114" s="22" t="n"/>
      <c r="O114" s="21" t="n"/>
      <c r="P114" s="23">
        <f>IF(M114="","",IF(OR(M114="OOTB",M114="Konfigurace",M114="Custom vývoj"),IF(O114="","CHYBÍ odkaz FS","OK"),"N/A"))</f>
        <v/>
      </c>
      <c r="Q114" s="23">
        <f>IF(F114="Must",3,IF(F114="Should",2,IF(F114="Could",1,0)))</f>
        <v/>
      </c>
      <c r="R114" s="23">
        <f>IF(M114="","",IF(M114="OOTB",5,IF(M114="Konfigurace",3,IF(M114="Custom vývoj",1,IF(OR(M114="3rd party",M114="Nesplněno"),0,"")))))</f>
        <v/>
      </c>
      <c r="S114" s="24" t="n"/>
      <c r="T114" s="23">
        <f>IF(R114="","",IF(OR(P114="CHYBÍ odkaz FS",S114="Ne"),0,R114))</f>
        <v/>
      </c>
      <c r="U114" s="23">
        <f>IF(G114&lt;&gt;"Ano","",IF(M114="","",IF(OR(M114="Nesplněno",M114="3rd party",M114="Neakceptuje",S114="Ne",P114="CHYBÍ odkaz FS"),"FAIL",IF(M114="Akceptuje s výhradou","K VYJASNĚNÍ","PASS"))))</f>
        <v/>
      </c>
      <c r="V114" s="23">
        <f>IF(AND(J114="Byznys (30 %)",G114&lt;&gt;"Ano",ISNUMBER(T114)),T114*Q114,0)</f>
        <v/>
      </c>
      <c r="W114" s="23">
        <f>IF(AND(J114="Byznys (30 %)",G114&lt;&gt;"Ano",F114&lt;&gt;"Won't"),5*Q114,0)</f>
        <v/>
      </c>
      <c r="X114" s="25" t="n"/>
    </row>
    <row r="115">
      <c r="A115" s="18" t="n"/>
      <c r="B115" s="18" t="n"/>
      <c r="C115" s="19" t="n"/>
      <c r="D115" s="19" t="n"/>
      <c r="E115" s="18" t="n"/>
      <c r="F115" s="18" t="n"/>
      <c r="G115" s="18" t="n"/>
      <c r="H115" s="19" t="n"/>
      <c r="I115" s="18" t="n"/>
      <c r="J115" s="18" t="n"/>
      <c r="K115" s="18" t="n"/>
      <c r="L115" s="19" t="n"/>
      <c r="M115" s="21" t="n"/>
      <c r="N115" s="22" t="n"/>
      <c r="O115" s="21" t="n"/>
      <c r="P115" s="23">
        <f>IF(M115="","",IF(OR(M115="OOTB",M115="Konfigurace",M115="Custom vývoj"),IF(O115="","CHYBÍ odkaz FS","OK"),"N/A"))</f>
        <v/>
      </c>
      <c r="Q115" s="23">
        <f>IF(F115="Must",3,IF(F115="Should",2,IF(F115="Could",1,0)))</f>
        <v/>
      </c>
      <c r="R115" s="23">
        <f>IF(M115="","",IF(M115="OOTB",5,IF(M115="Konfigurace",3,IF(M115="Custom vývoj",1,IF(OR(M115="3rd party",M115="Nesplněno"),0,"")))))</f>
        <v/>
      </c>
      <c r="S115" s="24" t="n"/>
      <c r="T115" s="23">
        <f>IF(R115="","",IF(OR(P115="CHYBÍ odkaz FS",S115="Ne"),0,R115))</f>
        <v/>
      </c>
      <c r="U115" s="23">
        <f>IF(G115&lt;&gt;"Ano","",IF(M115="","",IF(OR(M115="Nesplněno",M115="3rd party",M115="Neakceptuje",S115="Ne",P115="CHYBÍ odkaz FS"),"FAIL",IF(M115="Akceptuje s výhradou","K VYJASNĚNÍ","PASS"))))</f>
        <v/>
      </c>
      <c r="V115" s="23">
        <f>IF(AND(J115="Byznys (30 %)",G115&lt;&gt;"Ano",ISNUMBER(T115)),T115*Q115,0)</f>
        <v/>
      </c>
      <c r="W115" s="23">
        <f>IF(AND(J115="Byznys (30 %)",G115&lt;&gt;"Ano",F115&lt;&gt;"Won't"),5*Q115,0)</f>
        <v/>
      </c>
      <c r="X115" s="25" t="n"/>
    </row>
    <row r="116">
      <c r="A116" s="18" t="n"/>
      <c r="B116" s="18" t="n"/>
      <c r="C116" s="19" t="n"/>
      <c r="D116" s="19" t="n"/>
      <c r="E116" s="18" t="n"/>
      <c r="F116" s="18" t="n"/>
      <c r="G116" s="18" t="n"/>
      <c r="H116" s="19" t="n"/>
      <c r="I116" s="18" t="n"/>
      <c r="J116" s="18" t="n"/>
      <c r="K116" s="18" t="n"/>
      <c r="L116" s="19" t="n"/>
      <c r="M116" s="21" t="n"/>
      <c r="N116" s="22" t="n"/>
      <c r="O116" s="21" t="n"/>
      <c r="P116" s="23">
        <f>IF(M116="","",IF(OR(M116="OOTB",M116="Konfigurace",M116="Custom vývoj"),IF(O116="","CHYBÍ odkaz FS","OK"),"N/A"))</f>
        <v/>
      </c>
      <c r="Q116" s="23">
        <f>IF(F116="Must",3,IF(F116="Should",2,IF(F116="Could",1,0)))</f>
        <v/>
      </c>
      <c r="R116" s="23">
        <f>IF(M116="","",IF(M116="OOTB",5,IF(M116="Konfigurace",3,IF(M116="Custom vývoj",1,IF(OR(M116="3rd party",M116="Nesplněno"),0,"")))))</f>
        <v/>
      </c>
      <c r="S116" s="24" t="n"/>
      <c r="T116" s="23">
        <f>IF(R116="","",IF(OR(P116="CHYBÍ odkaz FS",S116="Ne"),0,R116))</f>
        <v/>
      </c>
      <c r="U116" s="23">
        <f>IF(G116&lt;&gt;"Ano","",IF(M116="","",IF(OR(M116="Nesplněno",M116="3rd party",M116="Neakceptuje",S116="Ne",P116="CHYBÍ odkaz FS"),"FAIL",IF(M116="Akceptuje s výhradou","K VYJASNĚNÍ","PASS"))))</f>
        <v/>
      </c>
      <c r="V116" s="23">
        <f>IF(AND(J116="Byznys (30 %)",G116&lt;&gt;"Ano",ISNUMBER(T116)),T116*Q116,0)</f>
        <v/>
      </c>
      <c r="W116" s="23">
        <f>IF(AND(J116="Byznys (30 %)",G116&lt;&gt;"Ano",F116&lt;&gt;"Won't"),5*Q116,0)</f>
        <v/>
      </c>
      <c r="X116" s="25" t="n"/>
    </row>
    <row r="117">
      <c r="A117" s="18" t="n"/>
      <c r="B117" s="18" t="n"/>
      <c r="C117" s="19" t="n"/>
      <c r="D117" s="19" t="n"/>
      <c r="E117" s="18" t="n"/>
      <c r="F117" s="18" t="n"/>
      <c r="G117" s="18" t="n"/>
      <c r="H117" s="19" t="n"/>
      <c r="I117" s="18" t="n"/>
      <c r="J117" s="18" t="n"/>
      <c r="K117" s="18" t="n"/>
      <c r="L117" s="19" t="n"/>
      <c r="M117" s="21" t="n"/>
      <c r="N117" s="22" t="n"/>
      <c r="O117" s="21" t="n"/>
      <c r="P117" s="23">
        <f>IF(M117="","",IF(OR(M117="OOTB",M117="Konfigurace",M117="Custom vývoj"),IF(O117="","CHYBÍ odkaz FS","OK"),"N/A"))</f>
        <v/>
      </c>
      <c r="Q117" s="23">
        <f>IF(F117="Must",3,IF(F117="Should",2,IF(F117="Could",1,0)))</f>
        <v/>
      </c>
      <c r="R117" s="23">
        <f>IF(M117="","",IF(M117="OOTB",5,IF(M117="Konfigurace",3,IF(M117="Custom vývoj",1,IF(OR(M117="3rd party",M117="Nesplněno"),0,"")))))</f>
        <v/>
      </c>
      <c r="S117" s="24" t="n"/>
      <c r="T117" s="23">
        <f>IF(R117="","",IF(OR(P117="CHYBÍ odkaz FS",S117="Ne"),0,R117))</f>
        <v/>
      </c>
      <c r="U117" s="23">
        <f>IF(G117&lt;&gt;"Ano","",IF(M117="","",IF(OR(M117="Nesplněno",M117="3rd party",M117="Neakceptuje",S117="Ne",P117="CHYBÍ odkaz FS"),"FAIL",IF(M117="Akceptuje s výhradou","K VYJASNĚNÍ","PASS"))))</f>
        <v/>
      </c>
      <c r="V117" s="23">
        <f>IF(AND(J117="Byznys (30 %)",G117&lt;&gt;"Ano",ISNUMBER(T117)),T117*Q117,0)</f>
        <v/>
      </c>
      <c r="W117" s="23">
        <f>IF(AND(J117="Byznys (30 %)",G117&lt;&gt;"Ano",F117&lt;&gt;"Won't"),5*Q117,0)</f>
        <v/>
      </c>
      <c r="X117" s="25" t="n"/>
    </row>
    <row r="118">
      <c r="A118" s="18" t="n"/>
      <c r="B118" s="18" t="n"/>
      <c r="C118" s="19" t="n"/>
      <c r="D118" s="19" t="n"/>
      <c r="E118" s="18" t="n"/>
      <c r="F118" s="18" t="n"/>
      <c r="G118" s="18" t="n"/>
      <c r="H118" s="19" t="n"/>
      <c r="I118" s="18" t="n"/>
      <c r="J118" s="18" t="n"/>
      <c r="K118" s="18" t="n"/>
      <c r="L118" s="19" t="n"/>
      <c r="M118" s="21" t="n"/>
      <c r="N118" s="22" t="n"/>
      <c r="O118" s="21" t="n"/>
      <c r="P118" s="23">
        <f>IF(M118="","",IF(OR(M118="OOTB",M118="Konfigurace",M118="Custom vývoj"),IF(O118="","CHYBÍ odkaz FS","OK"),"N/A"))</f>
        <v/>
      </c>
      <c r="Q118" s="23">
        <f>IF(F118="Must",3,IF(F118="Should",2,IF(F118="Could",1,0)))</f>
        <v/>
      </c>
      <c r="R118" s="23">
        <f>IF(M118="","",IF(M118="OOTB",5,IF(M118="Konfigurace",3,IF(M118="Custom vývoj",1,IF(OR(M118="3rd party",M118="Nesplněno"),0,"")))))</f>
        <v/>
      </c>
      <c r="S118" s="24" t="n"/>
      <c r="T118" s="23">
        <f>IF(R118="","",IF(OR(P118="CHYBÍ odkaz FS",S118="Ne"),0,R118))</f>
        <v/>
      </c>
      <c r="U118" s="23">
        <f>IF(G118&lt;&gt;"Ano","",IF(M118="","",IF(OR(M118="Nesplněno",M118="3rd party",M118="Neakceptuje",S118="Ne",P118="CHYBÍ odkaz FS"),"FAIL",IF(M118="Akceptuje s výhradou","K VYJASNĚNÍ","PASS"))))</f>
        <v/>
      </c>
      <c r="V118" s="23">
        <f>IF(AND(J118="Byznys (30 %)",G118&lt;&gt;"Ano",ISNUMBER(T118)),T118*Q118,0)</f>
        <v/>
      </c>
      <c r="W118" s="23">
        <f>IF(AND(J118="Byznys (30 %)",G118&lt;&gt;"Ano",F118&lt;&gt;"Won't"),5*Q118,0)</f>
        <v/>
      </c>
      <c r="X118" s="25" t="n"/>
    </row>
    <row r="119">
      <c r="A119" s="18" t="n"/>
      <c r="B119" s="18" t="n"/>
      <c r="C119" s="19" t="n"/>
      <c r="D119" s="19" t="n"/>
      <c r="E119" s="18" t="n"/>
      <c r="F119" s="18" t="n"/>
      <c r="G119" s="18" t="n"/>
      <c r="H119" s="19" t="n"/>
      <c r="I119" s="18" t="n"/>
      <c r="J119" s="18" t="n"/>
      <c r="K119" s="18" t="n"/>
      <c r="L119" s="19" t="n"/>
      <c r="M119" s="21" t="n"/>
      <c r="N119" s="22" t="n"/>
      <c r="O119" s="21" t="n"/>
      <c r="P119" s="23">
        <f>IF(M119="","",IF(OR(M119="OOTB",M119="Konfigurace",M119="Custom vývoj"),IF(O119="","CHYBÍ odkaz FS","OK"),"N/A"))</f>
        <v/>
      </c>
      <c r="Q119" s="23">
        <f>IF(F119="Must",3,IF(F119="Should",2,IF(F119="Could",1,0)))</f>
        <v/>
      </c>
      <c r="R119" s="23">
        <f>IF(M119="","",IF(M119="OOTB",5,IF(M119="Konfigurace",3,IF(M119="Custom vývoj",1,IF(OR(M119="3rd party",M119="Nesplněno"),0,"")))))</f>
        <v/>
      </c>
      <c r="S119" s="24" t="n"/>
      <c r="T119" s="23">
        <f>IF(R119="","",IF(OR(P119="CHYBÍ odkaz FS",S119="Ne"),0,R119))</f>
        <v/>
      </c>
      <c r="U119" s="23">
        <f>IF(G119&lt;&gt;"Ano","",IF(M119="","",IF(OR(M119="Nesplněno",M119="3rd party",M119="Neakceptuje",S119="Ne",P119="CHYBÍ odkaz FS"),"FAIL",IF(M119="Akceptuje s výhradou","K VYJASNĚNÍ","PASS"))))</f>
        <v/>
      </c>
      <c r="V119" s="23">
        <f>IF(AND(J119="Byznys (30 %)",G119&lt;&gt;"Ano",ISNUMBER(T119)),T119*Q119,0)</f>
        <v/>
      </c>
      <c r="W119" s="23">
        <f>IF(AND(J119="Byznys (30 %)",G119&lt;&gt;"Ano",F119&lt;&gt;"Won't"),5*Q119,0)</f>
        <v/>
      </c>
      <c r="X119" s="25" t="n"/>
    </row>
    <row r="120">
      <c r="A120" s="18" t="n"/>
      <c r="B120" s="18" t="n"/>
      <c r="C120" s="19" t="n"/>
      <c r="D120" s="19" t="n"/>
      <c r="E120" s="18" t="n"/>
      <c r="F120" s="18" t="n"/>
      <c r="G120" s="18" t="n"/>
      <c r="H120" s="19" t="n"/>
      <c r="I120" s="18" t="n"/>
      <c r="J120" s="18" t="n"/>
      <c r="K120" s="18" t="n"/>
      <c r="L120" s="19" t="n"/>
      <c r="M120" s="21" t="n"/>
      <c r="N120" s="22" t="n"/>
      <c r="O120" s="21" t="n"/>
      <c r="P120" s="23">
        <f>IF(M120="","",IF(OR(M120="OOTB",M120="Konfigurace",M120="Custom vývoj"),IF(O120="","CHYBÍ odkaz FS","OK"),"N/A"))</f>
        <v/>
      </c>
      <c r="Q120" s="23">
        <f>IF(F120="Must",3,IF(F120="Should",2,IF(F120="Could",1,0)))</f>
        <v/>
      </c>
      <c r="R120" s="23">
        <f>IF(M120="","",IF(M120="OOTB",5,IF(M120="Konfigurace",3,IF(M120="Custom vývoj",1,IF(OR(M120="3rd party",M120="Nesplněno"),0,"")))))</f>
        <v/>
      </c>
      <c r="S120" s="24" t="n"/>
      <c r="T120" s="23">
        <f>IF(R120="","",IF(OR(P120="CHYBÍ odkaz FS",S120="Ne"),0,R120))</f>
        <v/>
      </c>
      <c r="U120" s="23">
        <f>IF(G120&lt;&gt;"Ano","",IF(M120="","",IF(OR(M120="Nesplněno",M120="3rd party",M120="Neakceptuje",S120="Ne",P120="CHYBÍ odkaz FS"),"FAIL",IF(M120="Akceptuje s výhradou","K VYJASNĚNÍ","PASS"))))</f>
        <v/>
      </c>
      <c r="V120" s="23">
        <f>IF(AND(J120="Byznys (30 %)",G120&lt;&gt;"Ano",ISNUMBER(T120)),T120*Q120,0)</f>
        <v/>
      </c>
      <c r="W120" s="23">
        <f>IF(AND(J120="Byznys (30 %)",G120&lt;&gt;"Ano",F120&lt;&gt;"Won't"),5*Q120,0)</f>
        <v/>
      </c>
      <c r="X120" s="25" t="n"/>
    </row>
    <row r="121">
      <c r="A121" s="18" t="n"/>
      <c r="B121" s="18" t="n"/>
      <c r="C121" s="19" t="n"/>
      <c r="D121" s="19" t="n"/>
      <c r="E121" s="18" t="n"/>
      <c r="F121" s="18" t="n"/>
      <c r="G121" s="18" t="n"/>
      <c r="H121" s="19" t="n"/>
      <c r="I121" s="18" t="n"/>
      <c r="J121" s="18" t="n"/>
      <c r="K121" s="18" t="n"/>
      <c r="L121" s="19" t="n"/>
      <c r="M121" s="21" t="n"/>
      <c r="N121" s="22" t="n"/>
      <c r="O121" s="21" t="n"/>
      <c r="P121" s="23">
        <f>IF(M121="","",IF(OR(M121="OOTB",M121="Konfigurace",M121="Custom vývoj"),IF(O121="","CHYBÍ odkaz FS","OK"),"N/A"))</f>
        <v/>
      </c>
      <c r="Q121" s="23">
        <f>IF(F121="Must",3,IF(F121="Should",2,IF(F121="Could",1,0)))</f>
        <v/>
      </c>
      <c r="R121" s="23">
        <f>IF(M121="","",IF(M121="OOTB",5,IF(M121="Konfigurace",3,IF(M121="Custom vývoj",1,IF(OR(M121="3rd party",M121="Nesplněno"),0,"")))))</f>
        <v/>
      </c>
      <c r="S121" s="24" t="n"/>
      <c r="T121" s="23">
        <f>IF(R121="","",IF(OR(P121="CHYBÍ odkaz FS",S121="Ne"),0,R121))</f>
        <v/>
      </c>
      <c r="U121" s="23">
        <f>IF(G121&lt;&gt;"Ano","",IF(M121="","",IF(OR(M121="Nesplněno",M121="3rd party",M121="Neakceptuje",S121="Ne",P121="CHYBÍ odkaz FS"),"FAIL",IF(M121="Akceptuje s výhradou","K VYJASNĚNÍ","PASS"))))</f>
        <v/>
      </c>
      <c r="V121" s="23">
        <f>IF(AND(J121="Byznys (30 %)",G121&lt;&gt;"Ano",ISNUMBER(T121)),T121*Q121,0)</f>
        <v/>
      </c>
      <c r="W121" s="23">
        <f>IF(AND(J121="Byznys (30 %)",G121&lt;&gt;"Ano",F121&lt;&gt;"Won't"),5*Q121,0)</f>
        <v/>
      </c>
      <c r="X121" s="25" t="n"/>
    </row>
    <row r="122">
      <c r="A122" s="18" t="n"/>
      <c r="B122" s="18" t="n"/>
      <c r="C122" s="19" t="n"/>
      <c r="D122" s="19" t="n"/>
      <c r="E122" s="18" t="n"/>
      <c r="F122" s="18" t="n"/>
      <c r="G122" s="18" t="n"/>
      <c r="H122" s="19" t="n"/>
      <c r="I122" s="18" t="n"/>
      <c r="J122" s="18" t="n"/>
      <c r="K122" s="18" t="n"/>
      <c r="L122" s="19" t="n"/>
      <c r="M122" s="21" t="n"/>
      <c r="N122" s="22" t="n"/>
      <c r="O122" s="21" t="n"/>
      <c r="P122" s="23">
        <f>IF(M122="","",IF(OR(M122="OOTB",M122="Konfigurace",M122="Custom vývoj"),IF(O122="","CHYBÍ odkaz FS","OK"),"N/A"))</f>
        <v/>
      </c>
      <c r="Q122" s="23">
        <f>IF(F122="Must",3,IF(F122="Should",2,IF(F122="Could",1,0)))</f>
        <v/>
      </c>
      <c r="R122" s="23">
        <f>IF(M122="","",IF(M122="OOTB",5,IF(M122="Konfigurace",3,IF(M122="Custom vývoj",1,IF(OR(M122="3rd party",M122="Nesplněno"),0,"")))))</f>
        <v/>
      </c>
      <c r="S122" s="24" t="n"/>
      <c r="T122" s="23">
        <f>IF(R122="","",IF(OR(P122="CHYBÍ odkaz FS",S122="Ne"),0,R122))</f>
        <v/>
      </c>
      <c r="U122" s="23">
        <f>IF(G122&lt;&gt;"Ano","",IF(M122="","",IF(OR(M122="Nesplněno",M122="3rd party",M122="Neakceptuje",S122="Ne",P122="CHYBÍ odkaz FS"),"FAIL",IF(M122="Akceptuje s výhradou","K VYJASNĚNÍ","PASS"))))</f>
        <v/>
      </c>
      <c r="V122" s="23">
        <f>IF(AND(J122="Byznys (30 %)",G122&lt;&gt;"Ano",ISNUMBER(T122)),T122*Q122,0)</f>
        <v/>
      </c>
      <c r="W122" s="23">
        <f>IF(AND(J122="Byznys (30 %)",G122&lt;&gt;"Ano",F122&lt;&gt;"Won't"),5*Q122,0)</f>
        <v/>
      </c>
      <c r="X122" s="25" t="n"/>
    </row>
    <row r="123">
      <c r="A123" s="18" t="n"/>
      <c r="B123" s="18" t="n"/>
      <c r="C123" s="19" t="n"/>
      <c r="D123" s="19" t="n"/>
      <c r="E123" s="18" t="n"/>
      <c r="F123" s="18" t="n"/>
      <c r="G123" s="18" t="n"/>
      <c r="H123" s="19" t="n"/>
      <c r="I123" s="18" t="n"/>
      <c r="J123" s="18" t="n"/>
      <c r="K123" s="18" t="n"/>
      <c r="L123" s="19" t="n"/>
      <c r="M123" s="21" t="n"/>
      <c r="N123" s="22" t="n"/>
      <c r="O123" s="21" t="n"/>
      <c r="P123" s="23">
        <f>IF(M123="","",IF(OR(M123="OOTB",M123="Konfigurace",M123="Custom vývoj"),IF(O123="","CHYBÍ odkaz FS","OK"),"N/A"))</f>
        <v/>
      </c>
      <c r="Q123" s="23">
        <f>IF(F123="Must",3,IF(F123="Should",2,IF(F123="Could",1,0)))</f>
        <v/>
      </c>
      <c r="R123" s="23">
        <f>IF(M123="","",IF(M123="OOTB",5,IF(M123="Konfigurace",3,IF(M123="Custom vývoj",1,IF(OR(M123="3rd party",M123="Nesplněno"),0,"")))))</f>
        <v/>
      </c>
      <c r="S123" s="24" t="n"/>
      <c r="T123" s="23">
        <f>IF(R123="","",IF(OR(P123="CHYBÍ odkaz FS",S123="Ne"),0,R123))</f>
        <v/>
      </c>
      <c r="U123" s="23">
        <f>IF(G123&lt;&gt;"Ano","",IF(M123="","",IF(OR(M123="Nesplněno",M123="3rd party",M123="Neakceptuje",S123="Ne",P123="CHYBÍ odkaz FS"),"FAIL",IF(M123="Akceptuje s výhradou","K VYJASNĚNÍ","PASS"))))</f>
        <v/>
      </c>
      <c r="V123" s="23">
        <f>IF(AND(J123="Byznys (30 %)",G123&lt;&gt;"Ano",ISNUMBER(T123)),T123*Q123,0)</f>
        <v/>
      </c>
      <c r="W123" s="23">
        <f>IF(AND(J123="Byznys (30 %)",G123&lt;&gt;"Ano",F123&lt;&gt;"Won't"),5*Q123,0)</f>
        <v/>
      </c>
      <c r="X123" s="25" t="n"/>
    </row>
    <row r="124">
      <c r="A124" s="18" t="n"/>
      <c r="B124" s="18" t="n"/>
      <c r="C124" s="19" t="n"/>
      <c r="D124" s="19" t="n"/>
      <c r="E124" s="18" t="n"/>
      <c r="F124" s="18" t="n"/>
      <c r="G124" s="18" t="n"/>
      <c r="H124" s="19" t="n"/>
      <c r="I124" s="18" t="n"/>
      <c r="J124" s="18" t="n"/>
      <c r="K124" s="18" t="n"/>
      <c r="L124" s="19" t="n"/>
      <c r="M124" s="21" t="n"/>
      <c r="N124" s="22" t="n"/>
      <c r="O124" s="21" t="n"/>
      <c r="P124" s="23">
        <f>IF(M124="","",IF(OR(M124="OOTB",M124="Konfigurace",M124="Custom vývoj"),IF(O124="","CHYBÍ odkaz FS","OK"),"N/A"))</f>
        <v/>
      </c>
      <c r="Q124" s="23">
        <f>IF(F124="Must",3,IF(F124="Should",2,IF(F124="Could",1,0)))</f>
        <v/>
      </c>
      <c r="R124" s="23">
        <f>IF(M124="","",IF(M124="OOTB",5,IF(M124="Konfigurace",3,IF(M124="Custom vývoj",1,IF(OR(M124="3rd party",M124="Nesplněno"),0,"")))))</f>
        <v/>
      </c>
      <c r="S124" s="24" t="n"/>
      <c r="T124" s="23">
        <f>IF(R124="","",IF(OR(P124="CHYBÍ odkaz FS",S124="Ne"),0,R124))</f>
        <v/>
      </c>
      <c r="U124" s="23">
        <f>IF(G124&lt;&gt;"Ano","",IF(M124="","",IF(OR(M124="Nesplněno",M124="3rd party",M124="Neakceptuje",S124="Ne",P124="CHYBÍ odkaz FS"),"FAIL",IF(M124="Akceptuje s výhradou","K VYJASNĚNÍ","PASS"))))</f>
        <v/>
      </c>
      <c r="V124" s="23">
        <f>IF(AND(J124="Byznys (30 %)",G124&lt;&gt;"Ano",ISNUMBER(T124)),T124*Q124,0)</f>
        <v/>
      </c>
      <c r="W124" s="23">
        <f>IF(AND(J124="Byznys (30 %)",G124&lt;&gt;"Ano",F124&lt;&gt;"Won't"),5*Q124,0)</f>
        <v/>
      </c>
      <c r="X124" s="25" t="n"/>
    </row>
    <row r="125">
      <c r="A125" s="18" t="n"/>
      <c r="B125" s="18" t="n"/>
      <c r="C125" s="19" t="n"/>
      <c r="D125" s="19" t="n"/>
      <c r="E125" s="18" t="n"/>
      <c r="F125" s="18" t="n"/>
      <c r="G125" s="18" t="n"/>
      <c r="H125" s="19" t="n"/>
      <c r="I125" s="18" t="n"/>
      <c r="J125" s="18" t="n"/>
      <c r="K125" s="18" t="n"/>
      <c r="L125" s="19" t="n"/>
      <c r="M125" s="21" t="n"/>
      <c r="N125" s="22" t="n"/>
      <c r="O125" s="21" t="n"/>
      <c r="P125" s="23">
        <f>IF(M125="","",IF(OR(M125="OOTB",M125="Konfigurace",M125="Custom vývoj"),IF(O125="","CHYBÍ odkaz FS","OK"),"N/A"))</f>
        <v/>
      </c>
      <c r="Q125" s="23">
        <f>IF(F125="Must",3,IF(F125="Should",2,IF(F125="Could",1,0)))</f>
        <v/>
      </c>
      <c r="R125" s="23">
        <f>IF(M125="","",IF(M125="OOTB",5,IF(M125="Konfigurace",3,IF(M125="Custom vývoj",1,IF(OR(M125="3rd party",M125="Nesplněno"),0,"")))))</f>
        <v/>
      </c>
      <c r="S125" s="24" t="n"/>
      <c r="T125" s="23">
        <f>IF(R125="","",IF(OR(P125="CHYBÍ odkaz FS",S125="Ne"),0,R125))</f>
        <v/>
      </c>
      <c r="U125" s="23">
        <f>IF(G125&lt;&gt;"Ano","",IF(M125="","",IF(OR(M125="Nesplněno",M125="3rd party",M125="Neakceptuje",S125="Ne",P125="CHYBÍ odkaz FS"),"FAIL",IF(M125="Akceptuje s výhradou","K VYJASNĚNÍ","PASS"))))</f>
        <v/>
      </c>
      <c r="V125" s="23">
        <f>IF(AND(J125="Byznys (30 %)",G125&lt;&gt;"Ano",ISNUMBER(T125)),T125*Q125,0)</f>
        <v/>
      </c>
      <c r="W125" s="23">
        <f>IF(AND(J125="Byznys (30 %)",G125&lt;&gt;"Ano",F125&lt;&gt;"Won't"),5*Q125,0)</f>
        <v/>
      </c>
      <c r="X125" s="25" t="n"/>
    </row>
    <row r="126">
      <c r="A126" s="18" t="n"/>
      <c r="B126" s="18" t="n"/>
      <c r="C126" s="19" t="n"/>
      <c r="D126" s="19" t="n"/>
      <c r="E126" s="18" t="n"/>
      <c r="F126" s="18" t="n"/>
      <c r="G126" s="18" t="n"/>
      <c r="H126" s="19" t="n"/>
      <c r="I126" s="18" t="n"/>
      <c r="J126" s="18" t="n"/>
      <c r="K126" s="18" t="n"/>
      <c r="L126" s="19" t="n"/>
      <c r="M126" s="21" t="n"/>
      <c r="N126" s="22" t="n"/>
      <c r="O126" s="21" t="n"/>
      <c r="P126" s="23">
        <f>IF(M126="","",IF(OR(M126="OOTB",M126="Konfigurace",M126="Custom vývoj"),IF(O126="","CHYBÍ odkaz FS","OK"),"N/A"))</f>
        <v/>
      </c>
      <c r="Q126" s="23">
        <f>IF(F126="Must",3,IF(F126="Should",2,IF(F126="Could",1,0)))</f>
        <v/>
      </c>
      <c r="R126" s="23">
        <f>IF(M126="","",IF(M126="OOTB",5,IF(M126="Konfigurace",3,IF(M126="Custom vývoj",1,IF(OR(M126="3rd party",M126="Nesplněno"),0,"")))))</f>
        <v/>
      </c>
      <c r="S126" s="24" t="n"/>
      <c r="T126" s="23">
        <f>IF(R126="","",IF(OR(P126="CHYBÍ odkaz FS",S126="Ne"),0,R126))</f>
        <v/>
      </c>
      <c r="U126" s="23">
        <f>IF(G126&lt;&gt;"Ano","",IF(M126="","",IF(OR(M126="Nesplněno",M126="3rd party",M126="Neakceptuje",S126="Ne",P126="CHYBÍ odkaz FS"),"FAIL",IF(M126="Akceptuje s výhradou","K VYJASNĚNÍ","PASS"))))</f>
        <v/>
      </c>
      <c r="V126" s="23">
        <f>IF(AND(J126="Byznys (30 %)",G126&lt;&gt;"Ano",ISNUMBER(T126)),T126*Q126,0)</f>
        <v/>
      </c>
      <c r="W126" s="23">
        <f>IF(AND(J126="Byznys (30 %)",G126&lt;&gt;"Ano",F126&lt;&gt;"Won't"),5*Q126,0)</f>
        <v/>
      </c>
      <c r="X126" s="25" t="n"/>
    </row>
    <row r="127">
      <c r="A127" s="18" t="n"/>
      <c r="B127" s="18" t="n"/>
      <c r="C127" s="19" t="n"/>
      <c r="D127" s="19" t="n"/>
      <c r="E127" s="18" t="n"/>
      <c r="F127" s="18" t="n"/>
      <c r="G127" s="18" t="n"/>
      <c r="H127" s="19" t="n"/>
      <c r="I127" s="18" t="n"/>
      <c r="J127" s="18" t="n"/>
      <c r="K127" s="18" t="n"/>
      <c r="L127" s="19" t="n"/>
      <c r="M127" s="21" t="n"/>
      <c r="N127" s="22" t="n"/>
      <c r="O127" s="21" t="n"/>
      <c r="P127" s="23">
        <f>IF(M127="","",IF(OR(M127="OOTB",M127="Konfigurace",M127="Custom vývoj"),IF(O127="","CHYBÍ odkaz FS","OK"),"N/A"))</f>
        <v/>
      </c>
      <c r="Q127" s="23">
        <f>IF(F127="Must",3,IF(F127="Should",2,IF(F127="Could",1,0)))</f>
        <v/>
      </c>
      <c r="R127" s="23">
        <f>IF(M127="","",IF(M127="OOTB",5,IF(M127="Konfigurace",3,IF(M127="Custom vývoj",1,IF(OR(M127="3rd party",M127="Nesplněno"),0,"")))))</f>
        <v/>
      </c>
      <c r="S127" s="24" t="n"/>
      <c r="T127" s="23">
        <f>IF(R127="","",IF(OR(P127="CHYBÍ odkaz FS",S127="Ne"),0,R127))</f>
        <v/>
      </c>
      <c r="U127" s="23">
        <f>IF(G127&lt;&gt;"Ano","",IF(M127="","",IF(OR(M127="Nesplněno",M127="3rd party",M127="Neakceptuje",S127="Ne",P127="CHYBÍ odkaz FS"),"FAIL",IF(M127="Akceptuje s výhradou","K VYJASNĚNÍ","PASS"))))</f>
        <v/>
      </c>
      <c r="V127" s="23">
        <f>IF(AND(J127="Byznys (30 %)",G127&lt;&gt;"Ano",ISNUMBER(T127)),T127*Q127,0)</f>
        <v/>
      </c>
      <c r="W127" s="23">
        <f>IF(AND(J127="Byznys (30 %)",G127&lt;&gt;"Ano",F127&lt;&gt;"Won't"),5*Q127,0)</f>
        <v/>
      </c>
      <c r="X127" s="25" t="n"/>
    </row>
    <row r="128">
      <c r="A128" s="18" t="n"/>
      <c r="B128" s="18" t="n"/>
      <c r="C128" s="19" t="n"/>
      <c r="D128" s="19" t="n"/>
      <c r="E128" s="18" t="n"/>
      <c r="F128" s="18" t="n"/>
      <c r="G128" s="18" t="n"/>
      <c r="H128" s="19" t="n"/>
      <c r="I128" s="18" t="n"/>
      <c r="J128" s="18" t="n"/>
      <c r="K128" s="18" t="n"/>
      <c r="L128" s="19" t="n"/>
      <c r="M128" s="21" t="n"/>
      <c r="N128" s="22" t="n"/>
      <c r="O128" s="21" t="n"/>
      <c r="P128" s="23">
        <f>IF(M128="","",IF(OR(M128="OOTB",M128="Konfigurace",M128="Custom vývoj"),IF(O128="","CHYBÍ odkaz FS","OK"),"N/A"))</f>
        <v/>
      </c>
      <c r="Q128" s="23">
        <f>IF(F128="Must",3,IF(F128="Should",2,IF(F128="Could",1,0)))</f>
        <v/>
      </c>
      <c r="R128" s="23">
        <f>IF(M128="","",IF(M128="OOTB",5,IF(M128="Konfigurace",3,IF(M128="Custom vývoj",1,IF(OR(M128="3rd party",M128="Nesplněno"),0,"")))))</f>
        <v/>
      </c>
      <c r="S128" s="24" t="n"/>
      <c r="T128" s="23">
        <f>IF(R128="","",IF(OR(P128="CHYBÍ odkaz FS",S128="Ne"),0,R128))</f>
        <v/>
      </c>
      <c r="U128" s="23">
        <f>IF(G128&lt;&gt;"Ano","",IF(M128="","",IF(OR(M128="Nesplněno",M128="3rd party",M128="Neakceptuje",S128="Ne",P128="CHYBÍ odkaz FS"),"FAIL",IF(M128="Akceptuje s výhradou","K VYJASNĚNÍ","PASS"))))</f>
        <v/>
      </c>
      <c r="V128" s="23">
        <f>IF(AND(J128="Byznys (30 %)",G128&lt;&gt;"Ano",ISNUMBER(T128)),T128*Q128,0)</f>
        <v/>
      </c>
      <c r="W128" s="23">
        <f>IF(AND(J128="Byznys (30 %)",G128&lt;&gt;"Ano",F128&lt;&gt;"Won't"),5*Q128,0)</f>
        <v/>
      </c>
      <c r="X128" s="25" t="n"/>
    </row>
    <row r="129">
      <c r="A129" s="18" t="n"/>
      <c r="B129" s="18" t="n"/>
      <c r="C129" s="19" t="n"/>
      <c r="D129" s="19" t="n"/>
      <c r="E129" s="18" t="n"/>
      <c r="F129" s="18" t="n"/>
      <c r="G129" s="18" t="n"/>
      <c r="H129" s="19" t="n"/>
      <c r="I129" s="18" t="n"/>
      <c r="J129" s="18" t="n"/>
      <c r="K129" s="18" t="n"/>
      <c r="L129" s="19" t="n"/>
      <c r="M129" s="21" t="n"/>
      <c r="N129" s="22" t="n"/>
      <c r="O129" s="21" t="n"/>
      <c r="P129" s="23">
        <f>IF(M129="","",IF(OR(M129="OOTB",M129="Konfigurace",M129="Custom vývoj"),IF(O129="","CHYBÍ odkaz FS","OK"),"N/A"))</f>
        <v/>
      </c>
      <c r="Q129" s="23">
        <f>IF(F129="Must",3,IF(F129="Should",2,IF(F129="Could",1,0)))</f>
        <v/>
      </c>
      <c r="R129" s="23">
        <f>IF(M129="","",IF(M129="OOTB",5,IF(M129="Konfigurace",3,IF(M129="Custom vývoj",1,IF(OR(M129="3rd party",M129="Nesplněno"),0,"")))))</f>
        <v/>
      </c>
      <c r="S129" s="24" t="n"/>
      <c r="T129" s="23">
        <f>IF(R129="","",IF(OR(P129="CHYBÍ odkaz FS",S129="Ne"),0,R129))</f>
        <v/>
      </c>
      <c r="U129" s="23">
        <f>IF(G129&lt;&gt;"Ano","",IF(M129="","",IF(OR(M129="Nesplněno",M129="3rd party",M129="Neakceptuje",S129="Ne",P129="CHYBÍ odkaz FS"),"FAIL",IF(M129="Akceptuje s výhradou","K VYJASNĚNÍ","PASS"))))</f>
        <v/>
      </c>
      <c r="V129" s="23">
        <f>IF(AND(J129="Byznys (30 %)",G129&lt;&gt;"Ano",ISNUMBER(T129)),T129*Q129,0)</f>
        <v/>
      </c>
      <c r="W129" s="23">
        <f>IF(AND(J129="Byznys (30 %)",G129&lt;&gt;"Ano",F129&lt;&gt;"Won't"),5*Q129,0)</f>
        <v/>
      </c>
      <c r="X129" s="25" t="n"/>
    </row>
    <row r="130">
      <c r="A130" s="18" t="n"/>
      <c r="B130" s="18" t="n"/>
      <c r="C130" s="19" t="n"/>
      <c r="D130" s="19" t="n"/>
      <c r="E130" s="18" t="n"/>
      <c r="F130" s="18" t="n"/>
      <c r="G130" s="18" t="n"/>
      <c r="H130" s="19" t="n"/>
      <c r="I130" s="18" t="n"/>
      <c r="J130" s="18" t="n"/>
      <c r="K130" s="18" t="n"/>
      <c r="L130" s="19" t="n"/>
      <c r="M130" s="21" t="n"/>
      <c r="N130" s="22" t="n"/>
      <c r="O130" s="21" t="n"/>
      <c r="P130" s="23">
        <f>IF(M130="","",IF(OR(M130="OOTB",M130="Konfigurace",M130="Custom vývoj"),IF(O130="","CHYBÍ odkaz FS","OK"),"N/A"))</f>
        <v/>
      </c>
      <c r="Q130" s="23">
        <f>IF(F130="Must",3,IF(F130="Should",2,IF(F130="Could",1,0)))</f>
        <v/>
      </c>
      <c r="R130" s="23">
        <f>IF(M130="","",IF(M130="OOTB",5,IF(M130="Konfigurace",3,IF(M130="Custom vývoj",1,IF(OR(M130="3rd party",M130="Nesplněno"),0,"")))))</f>
        <v/>
      </c>
      <c r="S130" s="24" t="n"/>
      <c r="T130" s="23">
        <f>IF(R130="","",IF(OR(P130="CHYBÍ odkaz FS",S130="Ne"),0,R130))</f>
        <v/>
      </c>
      <c r="U130" s="23">
        <f>IF(G130&lt;&gt;"Ano","",IF(M130="","",IF(OR(M130="Nesplněno",M130="3rd party",M130="Neakceptuje",S130="Ne",P130="CHYBÍ odkaz FS"),"FAIL",IF(M130="Akceptuje s výhradou","K VYJASNĚNÍ","PASS"))))</f>
        <v/>
      </c>
      <c r="V130" s="23">
        <f>IF(AND(J130="Byznys (30 %)",G130&lt;&gt;"Ano",ISNUMBER(T130)),T130*Q130,0)</f>
        <v/>
      </c>
      <c r="W130" s="23">
        <f>IF(AND(J130="Byznys (30 %)",G130&lt;&gt;"Ano",F130&lt;&gt;"Won't"),5*Q130,0)</f>
        <v/>
      </c>
      <c r="X130" s="25" t="n"/>
    </row>
    <row r="131">
      <c r="A131" s="18" t="n"/>
      <c r="B131" s="18" t="n"/>
      <c r="C131" s="19" t="n"/>
      <c r="D131" s="19" t="n"/>
      <c r="E131" s="18" t="n"/>
      <c r="F131" s="18" t="n"/>
      <c r="G131" s="18" t="n"/>
      <c r="H131" s="19" t="n"/>
      <c r="I131" s="18" t="n"/>
      <c r="J131" s="18" t="n"/>
      <c r="K131" s="18" t="n"/>
      <c r="L131" s="19" t="n"/>
      <c r="M131" s="21" t="n"/>
      <c r="N131" s="22" t="n"/>
      <c r="O131" s="21" t="n"/>
      <c r="P131" s="23">
        <f>IF(M131="","",IF(OR(M131="OOTB",M131="Konfigurace",M131="Custom vývoj"),IF(O131="","CHYBÍ odkaz FS","OK"),"N/A"))</f>
        <v/>
      </c>
      <c r="Q131" s="23">
        <f>IF(F131="Must",3,IF(F131="Should",2,IF(F131="Could",1,0)))</f>
        <v/>
      </c>
      <c r="R131" s="23">
        <f>IF(M131="","",IF(M131="OOTB",5,IF(M131="Konfigurace",3,IF(M131="Custom vývoj",1,IF(OR(M131="3rd party",M131="Nesplněno"),0,"")))))</f>
        <v/>
      </c>
      <c r="S131" s="24" t="n"/>
      <c r="T131" s="23">
        <f>IF(R131="","",IF(OR(P131="CHYBÍ odkaz FS",S131="Ne"),0,R131))</f>
        <v/>
      </c>
      <c r="U131" s="23">
        <f>IF(G131&lt;&gt;"Ano","",IF(M131="","",IF(OR(M131="Nesplněno",M131="3rd party",M131="Neakceptuje",S131="Ne",P131="CHYBÍ odkaz FS"),"FAIL",IF(M131="Akceptuje s výhradou","K VYJASNĚNÍ","PASS"))))</f>
        <v/>
      </c>
      <c r="V131" s="23">
        <f>IF(AND(J131="Byznys (30 %)",G131&lt;&gt;"Ano",ISNUMBER(T131)),T131*Q131,0)</f>
        <v/>
      </c>
      <c r="W131" s="23">
        <f>IF(AND(J131="Byznys (30 %)",G131&lt;&gt;"Ano",F131&lt;&gt;"Won't"),5*Q131,0)</f>
        <v/>
      </c>
      <c r="X131" s="25" t="n"/>
    </row>
    <row r="132">
      <c r="A132" s="18" t="n"/>
      <c r="B132" s="18" t="n"/>
      <c r="C132" s="19" t="n"/>
      <c r="D132" s="19" t="n"/>
      <c r="E132" s="18" t="n"/>
      <c r="F132" s="18" t="n"/>
      <c r="G132" s="18" t="n"/>
      <c r="H132" s="19" t="n"/>
      <c r="I132" s="18" t="n"/>
      <c r="J132" s="18" t="n"/>
      <c r="K132" s="18" t="n"/>
      <c r="L132" s="19" t="n"/>
      <c r="M132" s="21" t="n"/>
      <c r="N132" s="22" t="n"/>
      <c r="O132" s="21" t="n"/>
      <c r="P132" s="23">
        <f>IF(M132="","",IF(OR(M132="OOTB",M132="Konfigurace",M132="Custom vývoj"),IF(O132="","CHYBÍ odkaz FS","OK"),"N/A"))</f>
        <v/>
      </c>
      <c r="Q132" s="23">
        <f>IF(F132="Must",3,IF(F132="Should",2,IF(F132="Could",1,0)))</f>
        <v/>
      </c>
      <c r="R132" s="23">
        <f>IF(M132="","",IF(M132="OOTB",5,IF(M132="Konfigurace",3,IF(M132="Custom vývoj",1,IF(OR(M132="3rd party",M132="Nesplněno"),0,"")))))</f>
        <v/>
      </c>
      <c r="S132" s="24" t="n"/>
      <c r="T132" s="23">
        <f>IF(R132="","",IF(OR(P132="CHYBÍ odkaz FS",S132="Ne"),0,R132))</f>
        <v/>
      </c>
      <c r="U132" s="23">
        <f>IF(G132&lt;&gt;"Ano","",IF(M132="","",IF(OR(M132="Nesplněno",M132="3rd party",M132="Neakceptuje",S132="Ne",P132="CHYBÍ odkaz FS"),"FAIL",IF(M132="Akceptuje s výhradou","K VYJASNĚNÍ","PASS"))))</f>
        <v/>
      </c>
      <c r="V132" s="23">
        <f>IF(AND(J132="Byznys (30 %)",G132&lt;&gt;"Ano",ISNUMBER(T132)),T132*Q132,0)</f>
        <v/>
      </c>
      <c r="W132" s="23">
        <f>IF(AND(J132="Byznys (30 %)",G132&lt;&gt;"Ano",F132&lt;&gt;"Won't"),5*Q132,0)</f>
        <v/>
      </c>
      <c r="X132" s="25" t="n"/>
    </row>
    <row r="133">
      <c r="A133" s="18" t="n"/>
      <c r="B133" s="18" t="n"/>
      <c r="C133" s="19" t="n"/>
      <c r="D133" s="19" t="n"/>
      <c r="E133" s="18" t="n"/>
      <c r="F133" s="18" t="n"/>
      <c r="G133" s="18" t="n"/>
      <c r="H133" s="19" t="n"/>
      <c r="I133" s="18" t="n"/>
      <c r="J133" s="18" t="n"/>
      <c r="K133" s="18" t="n"/>
      <c r="L133" s="19" t="n"/>
      <c r="M133" s="21" t="n"/>
      <c r="N133" s="22" t="n"/>
      <c r="O133" s="21" t="n"/>
      <c r="P133" s="23">
        <f>IF(M133="","",IF(OR(M133="OOTB",M133="Konfigurace",M133="Custom vývoj"),IF(O133="","CHYBÍ odkaz FS","OK"),"N/A"))</f>
        <v/>
      </c>
      <c r="Q133" s="23">
        <f>IF(F133="Must",3,IF(F133="Should",2,IF(F133="Could",1,0)))</f>
        <v/>
      </c>
      <c r="R133" s="23">
        <f>IF(M133="","",IF(M133="OOTB",5,IF(M133="Konfigurace",3,IF(M133="Custom vývoj",1,IF(OR(M133="3rd party",M133="Nesplněno"),0,"")))))</f>
        <v/>
      </c>
      <c r="S133" s="24" t="n"/>
      <c r="T133" s="23">
        <f>IF(R133="","",IF(OR(P133="CHYBÍ odkaz FS",S133="Ne"),0,R133))</f>
        <v/>
      </c>
      <c r="U133" s="23">
        <f>IF(G133&lt;&gt;"Ano","",IF(M133="","",IF(OR(M133="Nesplněno",M133="3rd party",M133="Neakceptuje",S133="Ne",P133="CHYBÍ odkaz FS"),"FAIL",IF(M133="Akceptuje s výhradou","K VYJASNĚNÍ","PASS"))))</f>
        <v/>
      </c>
      <c r="V133" s="23">
        <f>IF(AND(J133="Byznys (30 %)",G133&lt;&gt;"Ano",ISNUMBER(T133)),T133*Q133,0)</f>
        <v/>
      </c>
      <c r="W133" s="23">
        <f>IF(AND(J133="Byznys (30 %)",G133&lt;&gt;"Ano",F133&lt;&gt;"Won't"),5*Q133,0)</f>
        <v/>
      </c>
      <c r="X133" s="25" t="n"/>
    </row>
    <row r="134">
      <c r="A134" s="18" t="n"/>
      <c r="B134" s="18" t="n"/>
      <c r="C134" s="19" t="n"/>
      <c r="D134" s="19" t="n"/>
      <c r="E134" s="18" t="n"/>
      <c r="F134" s="18" t="n"/>
      <c r="G134" s="18" t="n"/>
      <c r="H134" s="19" t="n"/>
      <c r="I134" s="18" t="n"/>
      <c r="J134" s="18" t="n"/>
      <c r="K134" s="18" t="n"/>
      <c r="L134" s="19" t="n"/>
      <c r="M134" s="21" t="n"/>
      <c r="N134" s="22" t="n"/>
      <c r="O134" s="21" t="n"/>
      <c r="P134" s="23">
        <f>IF(M134="","",IF(OR(M134="OOTB",M134="Konfigurace",M134="Custom vývoj"),IF(O134="","CHYBÍ odkaz FS","OK"),"N/A"))</f>
        <v/>
      </c>
      <c r="Q134" s="23">
        <f>IF(F134="Must",3,IF(F134="Should",2,IF(F134="Could",1,0)))</f>
        <v/>
      </c>
      <c r="R134" s="23">
        <f>IF(M134="","",IF(M134="OOTB",5,IF(M134="Konfigurace",3,IF(M134="Custom vývoj",1,IF(OR(M134="3rd party",M134="Nesplněno"),0,"")))))</f>
        <v/>
      </c>
      <c r="S134" s="24" t="n"/>
      <c r="T134" s="23">
        <f>IF(R134="","",IF(OR(P134="CHYBÍ odkaz FS",S134="Ne"),0,R134))</f>
        <v/>
      </c>
      <c r="U134" s="23">
        <f>IF(G134&lt;&gt;"Ano","",IF(M134="","",IF(OR(M134="Nesplněno",M134="3rd party",M134="Neakceptuje",S134="Ne",P134="CHYBÍ odkaz FS"),"FAIL",IF(M134="Akceptuje s výhradou","K VYJASNĚNÍ","PASS"))))</f>
        <v/>
      </c>
      <c r="V134" s="23">
        <f>IF(AND(J134="Byznys (30 %)",G134&lt;&gt;"Ano",ISNUMBER(T134)),T134*Q134,0)</f>
        <v/>
      </c>
      <c r="W134" s="23">
        <f>IF(AND(J134="Byznys (30 %)",G134&lt;&gt;"Ano",F134&lt;&gt;"Won't"),5*Q134,0)</f>
        <v/>
      </c>
      <c r="X134" s="25" t="n"/>
    </row>
    <row r="135">
      <c r="A135" s="18" t="n"/>
      <c r="B135" s="18" t="n"/>
      <c r="C135" s="19" t="n"/>
      <c r="D135" s="19" t="n"/>
      <c r="E135" s="18" t="n"/>
      <c r="F135" s="18" t="n"/>
      <c r="G135" s="18" t="n"/>
      <c r="H135" s="19" t="n"/>
      <c r="I135" s="18" t="n"/>
      <c r="J135" s="18" t="n"/>
      <c r="K135" s="18" t="n"/>
      <c r="L135" s="19" t="n"/>
      <c r="M135" s="21" t="n"/>
      <c r="N135" s="22" t="n"/>
      <c r="O135" s="21" t="n"/>
      <c r="P135" s="23">
        <f>IF(M135="","",IF(OR(M135="OOTB",M135="Konfigurace",M135="Custom vývoj"),IF(O135="","CHYBÍ odkaz FS","OK"),"N/A"))</f>
        <v/>
      </c>
      <c r="Q135" s="23">
        <f>IF(F135="Must",3,IF(F135="Should",2,IF(F135="Could",1,0)))</f>
        <v/>
      </c>
      <c r="R135" s="23">
        <f>IF(M135="","",IF(M135="OOTB",5,IF(M135="Konfigurace",3,IF(M135="Custom vývoj",1,IF(OR(M135="3rd party",M135="Nesplněno"),0,"")))))</f>
        <v/>
      </c>
      <c r="S135" s="24" t="n"/>
      <c r="T135" s="23">
        <f>IF(R135="","",IF(OR(P135="CHYBÍ odkaz FS",S135="Ne"),0,R135))</f>
        <v/>
      </c>
      <c r="U135" s="23">
        <f>IF(G135&lt;&gt;"Ano","",IF(M135="","",IF(OR(M135="Nesplněno",M135="3rd party",M135="Neakceptuje",S135="Ne",P135="CHYBÍ odkaz FS"),"FAIL",IF(M135="Akceptuje s výhradou","K VYJASNĚNÍ","PASS"))))</f>
        <v/>
      </c>
      <c r="V135" s="23">
        <f>IF(AND(J135="Byznys (30 %)",G135&lt;&gt;"Ano",ISNUMBER(T135)),T135*Q135,0)</f>
        <v/>
      </c>
      <c r="W135" s="23">
        <f>IF(AND(J135="Byznys (30 %)",G135&lt;&gt;"Ano",F135&lt;&gt;"Won't"),5*Q135,0)</f>
        <v/>
      </c>
      <c r="X135" s="25" t="n"/>
    </row>
    <row r="136">
      <c r="A136" s="18" t="n"/>
      <c r="B136" s="18" t="n"/>
      <c r="C136" s="19" t="n"/>
      <c r="D136" s="19" t="n"/>
      <c r="E136" s="18" t="n"/>
      <c r="F136" s="18" t="n"/>
      <c r="G136" s="18" t="n"/>
      <c r="H136" s="19" t="n"/>
      <c r="I136" s="18" t="n"/>
      <c r="J136" s="18" t="n"/>
      <c r="K136" s="18" t="n"/>
      <c r="L136" s="19" t="n"/>
      <c r="M136" s="21" t="n"/>
      <c r="N136" s="22" t="n"/>
      <c r="O136" s="21" t="n"/>
      <c r="P136" s="23">
        <f>IF(M136="","",IF(OR(M136="OOTB",M136="Konfigurace",M136="Custom vývoj"),IF(O136="","CHYBÍ odkaz FS","OK"),"N/A"))</f>
        <v/>
      </c>
      <c r="Q136" s="23">
        <f>IF(F136="Must",3,IF(F136="Should",2,IF(F136="Could",1,0)))</f>
        <v/>
      </c>
      <c r="R136" s="23">
        <f>IF(M136="","",IF(M136="OOTB",5,IF(M136="Konfigurace",3,IF(M136="Custom vývoj",1,IF(OR(M136="3rd party",M136="Nesplněno"),0,"")))))</f>
        <v/>
      </c>
      <c r="S136" s="24" t="n"/>
      <c r="T136" s="23">
        <f>IF(R136="","",IF(OR(P136="CHYBÍ odkaz FS",S136="Ne"),0,R136))</f>
        <v/>
      </c>
      <c r="U136" s="23">
        <f>IF(G136&lt;&gt;"Ano","",IF(M136="","",IF(OR(M136="Nesplněno",M136="3rd party",M136="Neakceptuje",S136="Ne",P136="CHYBÍ odkaz FS"),"FAIL",IF(M136="Akceptuje s výhradou","K VYJASNĚNÍ","PASS"))))</f>
        <v/>
      </c>
      <c r="V136" s="23">
        <f>IF(AND(J136="Byznys (30 %)",G136&lt;&gt;"Ano",ISNUMBER(T136)),T136*Q136,0)</f>
        <v/>
      </c>
      <c r="W136" s="23">
        <f>IF(AND(J136="Byznys (30 %)",G136&lt;&gt;"Ano",F136&lt;&gt;"Won't"),5*Q136,0)</f>
        <v/>
      </c>
      <c r="X136" s="25" t="n"/>
    </row>
    <row r="137">
      <c r="A137" s="18" t="n"/>
      <c r="B137" s="18" t="n"/>
      <c r="C137" s="19" t="n"/>
      <c r="D137" s="19" t="n"/>
      <c r="E137" s="18" t="n"/>
      <c r="F137" s="18" t="n"/>
      <c r="G137" s="18" t="n"/>
      <c r="H137" s="19" t="n"/>
      <c r="I137" s="18" t="n"/>
      <c r="J137" s="18" t="n"/>
      <c r="K137" s="18" t="n"/>
      <c r="L137" s="19" t="n"/>
      <c r="M137" s="21" t="n"/>
      <c r="N137" s="22" t="n"/>
      <c r="O137" s="21" t="n"/>
      <c r="P137" s="23">
        <f>IF(M137="","",IF(OR(M137="OOTB",M137="Konfigurace",M137="Custom vývoj"),IF(O137="","CHYBÍ odkaz FS","OK"),"N/A"))</f>
        <v/>
      </c>
      <c r="Q137" s="23">
        <f>IF(F137="Must",3,IF(F137="Should",2,IF(F137="Could",1,0)))</f>
        <v/>
      </c>
      <c r="R137" s="23">
        <f>IF(M137="","",IF(M137="OOTB",5,IF(M137="Konfigurace",3,IF(M137="Custom vývoj",1,IF(OR(M137="3rd party",M137="Nesplněno"),0,"")))))</f>
        <v/>
      </c>
      <c r="S137" s="24" t="n"/>
      <c r="T137" s="23">
        <f>IF(R137="","",IF(OR(P137="CHYBÍ odkaz FS",S137="Ne"),0,R137))</f>
        <v/>
      </c>
      <c r="U137" s="23">
        <f>IF(G137&lt;&gt;"Ano","",IF(M137="","",IF(OR(M137="Nesplněno",M137="3rd party",M137="Neakceptuje",S137="Ne",P137="CHYBÍ odkaz FS"),"FAIL",IF(M137="Akceptuje s výhradou","K VYJASNĚNÍ","PASS"))))</f>
        <v/>
      </c>
      <c r="V137" s="23">
        <f>IF(AND(J137="Byznys (30 %)",G137&lt;&gt;"Ano",ISNUMBER(T137)),T137*Q137,0)</f>
        <v/>
      </c>
      <c r="W137" s="23">
        <f>IF(AND(J137="Byznys (30 %)",G137&lt;&gt;"Ano",F137&lt;&gt;"Won't"),5*Q137,0)</f>
        <v/>
      </c>
      <c r="X137" s="25" t="n"/>
    </row>
    <row r="138">
      <c r="A138" s="18" t="n"/>
      <c r="B138" s="18" t="n"/>
      <c r="C138" s="19" t="n"/>
      <c r="D138" s="19" t="n"/>
      <c r="E138" s="18" t="n"/>
      <c r="F138" s="18" t="n"/>
      <c r="G138" s="18" t="n"/>
      <c r="H138" s="19" t="n"/>
      <c r="I138" s="18" t="n"/>
      <c r="J138" s="18" t="n"/>
      <c r="K138" s="18" t="n"/>
      <c r="L138" s="19" t="n"/>
      <c r="M138" s="21" t="n"/>
      <c r="N138" s="22" t="n"/>
      <c r="O138" s="21" t="n"/>
      <c r="P138" s="23">
        <f>IF(M138="","",IF(OR(M138="OOTB",M138="Konfigurace",M138="Custom vývoj"),IF(O138="","CHYBÍ odkaz FS","OK"),"N/A"))</f>
        <v/>
      </c>
      <c r="Q138" s="23">
        <f>IF(F138="Must",3,IF(F138="Should",2,IF(F138="Could",1,0)))</f>
        <v/>
      </c>
      <c r="R138" s="23">
        <f>IF(M138="","",IF(M138="OOTB",5,IF(M138="Konfigurace",3,IF(M138="Custom vývoj",1,IF(OR(M138="3rd party",M138="Nesplněno"),0,"")))))</f>
        <v/>
      </c>
      <c r="S138" s="24" t="n"/>
      <c r="T138" s="23">
        <f>IF(R138="","",IF(OR(P138="CHYBÍ odkaz FS",S138="Ne"),0,R138))</f>
        <v/>
      </c>
      <c r="U138" s="23">
        <f>IF(G138&lt;&gt;"Ano","",IF(M138="","",IF(OR(M138="Nesplněno",M138="3rd party",M138="Neakceptuje",S138="Ne",P138="CHYBÍ odkaz FS"),"FAIL",IF(M138="Akceptuje s výhradou","K VYJASNĚNÍ","PASS"))))</f>
        <v/>
      </c>
      <c r="V138" s="23">
        <f>IF(AND(J138="Byznys (30 %)",G138&lt;&gt;"Ano",ISNUMBER(T138)),T138*Q138,0)</f>
        <v/>
      </c>
      <c r="W138" s="23">
        <f>IF(AND(J138="Byznys (30 %)",G138&lt;&gt;"Ano",F138&lt;&gt;"Won't"),5*Q138,0)</f>
        <v/>
      </c>
      <c r="X138" s="25" t="n"/>
    </row>
    <row r="139">
      <c r="A139" s="18" t="n"/>
      <c r="B139" s="18" t="n"/>
      <c r="C139" s="19" t="n"/>
      <c r="D139" s="19" t="n"/>
      <c r="E139" s="18" t="n"/>
      <c r="F139" s="18" t="n"/>
      <c r="G139" s="18" t="n"/>
      <c r="H139" s="19" t="n"/>
      <c r="I139" s="18" t="n"/>
      <c r="J139" s="18" t="n"/>
      <c r="K139" s="18" t="n"/>
      <c r="L139" s="19" t="n"/>
      <c r="M139" s="21" t="n"/>
      <c r="N139" s="22" t="n"/>
      <c r="O139" s="21" t="n"/>
      <c r="P139" s="23">
        <f>IF(M139="","",IF(OR(M139="OOTB",M139="Konfigurace",M139="Custom vývoj"),IF(O139="","CHYBÍ odkaz FS","OK"),"N/A"))</f>
        <v/>
      </c>
      <c r="Q139" s="23">
        <f>IF(F139="Must",3,IF(F139="Should",2,IF(F139="Could",1,0)))</f>
        <v/>
      </c>
      <c r="R139" s="23">
        <f>IF(M139="","",IF(M139="OOTB",5,IF(M139="Konfigurace",3,IF(M139="Custom vývoj",1,IF(OR(M139="3rd party",M139="Nesplněno"),0,"")))))</f>
        <v/>
      </c>
      <c r="S139" s="24" t="n"/>
      <c r="T139" s="23">
        <f>IF(R139="","",IF(OR(P139="CHYBÍ odkaz FS",S139="Ne"),0,R139))</f>
        <v/>
      </c>
      <c r="U139" s="23">
        <f>IF(G139&lt;&gt;"Ano","",IF(M139="","",IF(OR(M139="Nesplněno",M139="3rd party",M139="Neakceptuje",S139="Ne",P139="CHYBÍ odkaz FS"),"FAIL",IF(M139="Akceptuje s výhradou","K VYJASNĚNÍ","PASS"))))</f>
        <v/>
      </c>
      <c r="V139" s="23">
        <f>IF(AND(J139="Byznys (30 %)",G139&lt;&gt;"Ano",ISNUMBER(T139)),T139*Q139,0)</f>
        <v/>
      </c>
      <c r="W139" s="23">
        <f>IF(AND(J139="Byznys (30 %)",G139&lt;&gt;"Ano",F139&lt;&gt;"Won't"),5*Q139,0)</f>
        <v/>
      </c>
      <c r="X139" s="25" t="n"/>
    </row>
    <row r="140">
      <c r="A140" s="18" t="n"/>
      <c r="B140" s="18" t="n"/>
      <c r="C140" s="19" t="n"/>
      <c r="D140" s="19" t="n"/>
      <c r="E140" s="18" t="n"/>
      <c r="F140" s="18" t="n"/>
      <c r="G140" s="18" t="n"/>
      <c r="H140" s="19" t="n"/>
      <c r="I140" s="18" t="n"/>
      <c r="J140" s="18" t="n"/>
      <c r="K140" s="18" t="n"/>
      <c r="L140" s="19" t="n"/>
      <c r="M140" s="21" t="n"/>
      <c r="N140" s="22" t="n"/>
      <c r="O140" s="21" t="n"/>
      <c r="P140" s="23">
        <f>IF(M140="","",IF(OR(M140="OOTB",M140="Konfigurace",M140="Custom vývoj"),IF(O140="","CHYBÍ odkaz FS","OK"),"N/A"))</f>
        <v/>
      </c>
      <c r="Q140" s="23">
        <f>IF(F140="Must",3,IF(F140="Should",2,IF(F140="Could",1,0)))</f>
        <v/>
      </c>
      <c r="R140" s="23">
        <f>IF(M140="","",IF(M140="OOTB",5,IF(M140="Konfigurace",3,IF(M140="Custom vývoj",1,IF(OR(M140="3rd party",M140="Nesplněno"),0,"")))))</f>
        <v/>
      </c>
      <c r="S140" s="24" t="n"/>
      <c r="T140" s="23">
        <f>IF(R140="","",IF(OR(P140="CHYBÍ odkaz FS",S140="Ne"),0,R140))</f>
        <v/>
      </c>
      <c r="U140" s="23">
        <f>IF(G140&lt;&gt;"Ano","",IF(M140="","",IF(OR(M140="Nesplněno",M140="3rd party",M140="Neakceptuje",S140="Ne",P140="CHYBÍ odkaz FS"),"FAIL",IF(M140="Akceptuje s výhradou","K VYJASNĚNÍ","PASS"))))</f>
        <v/>
      </c>
      <c r="V140" s="23">
        <f>IF(AND(J140="Byznys (30 %)",G140&lt;&gt;"Ano",ISNUMBER(T140)),T140*Q140,0)</f>
        <v/>
      </c>
      <c r="W140" s="23">
        <f>IF(AND(J140="Byznys (30 %)",G140&lt;&gt;"Ano",F140&lt;&gt;"Won't"),5*Q140,0)</f>
        <v/>
      </c>
      <c r="X140" s="25" t="n"/>
    </row>
    <row r="141">
      <c r="A141" s="18" t="n"/>
      <c r="B141" s="18" t="n"/>
      <c r="C141" s="19" t="n"/>
      <c r="D141" s="19" t="n"/>
      <c r="E141" s="18" t="n"/>
      <c r="F141" s="18" t="n"/>
      <c r="G141" s="18" t="n"/>
      <c r="H141" s="19" t="n"/>
      <c r="I141" s="18" t="n"/>
      <c r="J141" s="18" t="n"/>
      <c r="K141" s="18" t="n"/>
      <c r="L141" s="19" t="n"/>
      <c r="M141" s="21" t="n"/>
      <c r="N141" s="22" t="n"/>
      <c r="O141" s="21" t="n"/>
      <c r="P141" s="23">
        <f>IF(M141="","",IF(OR(M141="OOTB",M141="Konfigurace",M141="Custom vývoj"),IF(O141="","CHYBÍ odkaz FS","OK"),"N/A"))</f>
        <v/>
      </c>
      <c r="Q141" s="23">
        <f>IF(F141="Must",3,IF(F141="Should",2,IF(F141="Could",1,0)))</f>
        <v/>
      </c>
      <c r="R141" s="23">
        <f>IF(M141="","",IF(M141="OOTB",5,IF(M141="Konfigurace",3,IF(M141="Custom vývoj",1,IF(OR(M141="3rd party",M141="Nesplněno"),0,"")))))</f>
        <v/>
      </c>
      <c r="S141" s="24" t="n"/>
      <c r="T141" s="23">
        <f>IF(R141="","",IF(OR(P141="CHYBÍ odkaz FS",S141="Ne"),0,R141))</f>
        <v/>
      </c>
      <c r="U141" s="23">
        <f>IF(G141&lt;&gt;"Ano","",IF(M141="","",IF(OR(M141="Nesplněno",M141="3rd party",M141="Neakceptuje",S141="Ne",P141="CHYBÍ odkaz FS"),"FAIL",IF(M141="Akceptuje s výhradou","K VYJASNĚNÍ","PASS"))))</f>
        <v/>
      </c>
      <c r="V141" s="23">
        <f>IF(AND(J141="Byznys (30 %)",G141&lt;&gt;"Ano",ISNUMBER(T141)),T141*Q141,0)</f>
        <v/>
      </c>
      <c r="W141" s="23">
        <f>IF(AND(J141="Byznys (30 %)",G141&lt;&gt;"Ano",F141&lt;&gt;"Won't"),5*Q141,0)</f>
        <v/>
      </c>
      <c r="X141" s="25" t="n"/>
    </row>
    <row r="142">
      <c r="A142" s="18" t="n"/>
      <c r="B142" s="18" t="n"/>
      <c r="C142" s="19" t="n"/>
      <c r="D142" s="19" t="n"/>
      <c r="E142" s="18" t="n"/>
      <c r="F142" s="18" t="n"/>
      <c r="G142" s="18" t="n"/>
      <c r="H142" s="19" t="n"/>
      <c r="I142" s="18" t="n"/>
      <c r="J142" s="18" t="n"/>
      <c r="K142" s="18" t="n"/>
      <c r="L142" s="19" t="n"/>
      <c r="M142" s="21" t="n"/>
      <c r="N142" s="22" t="n"/>
      <c r="O142" s="21" t="n"/>
      <c r="P142" s="23">
        <f>IF(M142="","",IF(OR(M142="OOTB",M142="Konfigurace",M142="Custom vývoj"),IF(O142="","CHYBÍ odkaz FS","OK"),"N/A"))</f>
        <v/>
      </c>
      <c r="Q142" s="23">
        <f>IF(F142="Must",3,IF(F142="Should",2,IF(F142="Could",1,0)))</f>
        <v/>
      </c>
      <c r="R142" s="23">
        <f>IF(M142="","",IF(M142="OOTB",5,IF(M142="Konfigurace",3,IF(M142="Custom vývoj",1,IF(OR(M142="3rd party",M142="Nesplněno"),0,"")))))</f>
        <v/>
      </c>
      <c r="S142" s="24" t="n"/>
      <c r="T142" s="23">
        <f>IF(R142="","",IF(OR(P142="CHYBÍ odkaz FS",S142="Ne"),0,R142))</f>
        <v/>
      </c>
      <c r="U142" s="23">
        <f>IF(G142&lt;&gt;"Ano","",IF(M142="","",IF(OR(M142="Nesplněno",M142="3rd party",M142="Neakceptuje",S142="Ne",P142="CHYBÍ odkaz FS"),"FAIL",IF(M142="Akceptuje s výhradou","K VYJASNĚNÍ","PASS"))))</f>
        <v/>
      </c>
      <c r="V142" s="23">
        <f>IF(AND(J142="Byznys (30 %)",G142&lt;&gt;"Ano",ISNUMBER(T142)),T142*Q142,0)</f>
        <v/>
      </c>
      <c r="W142" s="23">
        <f>IF(AND(J142="Byznys (30 %)",G142&lt;&gt;"Ano",F142&lt;&gt;"Won't"),5*Q142,0)</f>
        <v/>
      </c>
      <c r="X142" s="25" t="n"/>
    </row>
    <row r="143">
      <c r="A143" s="18" t="n"/>
      <c r="B143" s="18" t="n"/>
      <c r="C143" s="19" t="n"/>
      <c r="D143" s="19" t="n"/>
      <c r="E143" s="18" t="n"/>
      <c r="F143" s="18" t="n"/>
      <c r="G143" s="18" t="n"/>
      <c r="H143" s="19" t="n"/>
      <c r="I143" s="18" t="n"/>
      <c r="J143" s="18" t="n"/>
      <c r="K143" s="18" t="n"/>
      <c r="L143" s="19" t="n"/>
      <c r="M143" s="21" t="n"/>
      <c r="N143" s="22" t="n"/>
      <c r="O143" s="21" t="n"/>
      <c r="P143" s="23">
        <f>IF(M143="","",IF(OR(M143="OOTB",M143="Konfigurace",M143="Custom vývoj"),IF(O143="","CHYBÍ odkaz FS","OK"),"N/A"))</f>
        <v/>
      </c>
      <c r="Q143" s="23">
        <f>IF(F143="Must",3,IF(F143="Should",2,IF(F143="Could",1,0)))</f>
        <v/>
      </c>
      <c r="R143" s="23">
        <f>IF(M143="","",IF(M143="OOTB",5,IF(M143="Konfigurace",3,IF(M143="Custom vývoj",1,IF(OR(M143="3rd party",M143="Nesplněno"),0,"")))))</f>
        <v/>
      </c>
      <c r="S143" s="24" t="n"/>
      <c r="T143" s="23">
        <f>IF(R143="","",IF(OR(P143="CHYBÍ odkaz FS",S143="Ne"),0,R143))</f>
        <v/>
      </c>
      <c r="U143" s="23">
        <f>IF(G143&lt;&gt;"Ano","",IF(M143="","",IF(OR(M143="Nesplněno",M143="3rd party",M143="Neakceptuje",S143="Ne",P143="CHYBÍ odkaz FS"),"FAIL",IF(M143="Akceptuje s výhradou","K VYJASNĚNÍ","PASS"))))</f>
        <v/>
      </c>
      <c r="V143" s="23">
        <f>IF(AND(J143="Byznys (30 %)",G143&lt;&gt;"Ano",ISNUMBER(T143)),T143*Q143,0)</f>
        <v/>
      </c>
      <c r="W143" s="23">
        <f>IF(AND(J143="Byznys (30 %)",G143&lt;&gt;"Ano",F143&lt;&gt;"Won't"),5*Q143,0)</f>
        <v/>
      </c>
      <c r="X143" s="25" t="n"/>
    </row>
    <row r="144">
      <c r="A144" s="18" t="n"/>
      <c r="B144" s="18" t="n"/>
      <c r="C144" s="19" t="n"/>
      <c r="D144" s="19" t="n"/>
      <c r="E144" s="18" t="n"/>
      <c r="F144" s="18" t="n"/>
      <c r="G144" s="18" t="n"/>
      <c r="H144" s="19" t="n"/>
      <c r="I144" s="18" t="n"/>
      <c r="J144" s="18" t="n"/>
      <c r="K144" s="18" t="n"/>
      <c r="L144" s="19" t="n"/>
      <c r="M144" s="21" t="n"/>
      <c r="N144" s="22" t="n"/>
      <c r="O144" s="21" t="n"/>
      <c r="P144" s="23">
        <f>IF(M144="","",IF(OR(M144="OOTB",M144="Konfigurace",M144="Custom vývoj"),IF(O144="","CHYBÍ odkaz FS","OK"),"N/A"))</f>
        <v/>
      </c>
      <c r="Q144" s="23">
        <f>IF(F144="Must",3,IF(F144="Should",2,IF(F144="Could",1,0)))</f>
        <v/>
      </c>
      <c r="R144" s="23">
        <f>IF(M144="","",IF(M144="OOTB",5,IF(M144="Konfigurace",3,IF(M144="Custom vývoj",1,IF(OR(M144="3rd party",M144="Nesplněno"),0,"")))))</f>
        <v/>
      </c>
      <c r="S144" s="24" t="n"/>
      <c r="T144" s="23">
        <f>IF(R144="","",IF(OR(P144="CHYBÍ odkaz FS",S144="Ne"),0,R144))</f>
        <v/>
      </c>
      <c r="U144" s="23">
        <f>IF(G144&lt;&gt;"Ano","",IF(M144="","",IF(OR(M144="Nesplněno",M144="3rd party",M144="Neakceptuje",S144="Ne",P144="CHYBÍ odkaz FS"),"FAIL",IF(M144="Akceptuje s výhradou","K VYJASNĚNÍ","PASS"))))</f>
        <v/>
      </c>
      <c r="V144" s="23">
        <f>IF(AND(J144="Byznys (30 %)",G144&lt;&gt;"Ano",ISNUMBER(T144)),T144*Q144,0)</f>
        <v/>
      </c>
      <c r="W144" s="23">
        <f>IF(AND(J144="Byznys (30 %)",G144&lt;&gt;"Ano",F144&lt;&gt;"Won't"),5*Q144,0)</f>
        <v/>
      </c>
      <c r="X144" s="25" t="n"/>
    </row>
    <row r="145">
      <c r="A145" s="18" t="n"/>
      <c r="B145" s="18" t="n"/>
      <c r="C145" s="19" t="n"/>
      <c r="D145" s="19" t="n"/>
      <c r="E145" s="18" t="n"/>
      <c r="F145" s="18" t="n"/>
      <c r="G145" s="18" t="n"/>
      <c r="H145" s="19" t="n"/>
      <c r="I145" s="18" t="n"/>
      <c r="J145" s="18" t="n"/>
      <c r="K145" s="18" t="n"/>
      <c r="L145" s="19" t="n"/>
      <c r="M145" s="21" t="n"/>
      <c r="N145" s="22" t="n"/>
      <c r="O145" s="21" t="n"/>
      <c r="P145" s="23">
        <f>IF(M145="","",IF(OR(M145="OOTB",M145="Konfigurace",M145="Custom vývoj"),IF(O145="","CHYBÍ odkaz FS","OK"),"N/A"))</f>
        <v/>
      </c>
      <c r="Q145" s="23">
        <f>IF(F145="Must",3,IF(F145="Should",2,IF(F145="Could",1,0)))</f>
        <v/>
      </c>
      <c r="R145" s="23">
        <f>IF(M145="","",IF(M145="OOTB",5,IF(M145="Konfigurace",3,IF(M145="Custom vývoj",1,IF(OR(M145="3rd party",M145="Nesplněno"),0,"")))))</f>
        <v/>
      </c>
      <c r="S145" s="24" t="n"/>
      <c r="T145" s="23">
        <f>IF(R145="","",IF(OR(P145="CHYBÍ odkaz FS",S145="Ne"),0,R145))</f>
        <v/>
      </c>
      <c r="U145" s="23">
        <f>IF(G145&lt;&gt;"Ano","",IF(M145="","",IF(OR(M145="Nesplněno",M145="3rd party",M145="Neakceptuje",S145="Ne",P145="CHYBÍ odkaz FS"),"FAIL",IF(M145="Akceptuje s výhradou","K VYJASNĚNÍ","PASS"))))</f>
        <v/>
      </c>
      <c r="V145" s="23">
        <f>IF(AND(J145="Byznys (30 %)",G145&lt;&gt;"Ano",ISNUMBER(T145)),T145*Q145,0)</f>
        <v/>
      </c>
      <c r="W145" s="23">
        <f>IF(AND(J145="Byznys (30 %)",G145&lt;&gt;"Ano",F145&lt;&gt;"Won't"),5*Q145,0)</f>
        <v/>
      </c>
      <c r="X145" s="25" t="n"/>
    </row>
    <row r="146">
      <c r="A146" s="18" t="n"/>
      <c r="B146" s="18" t="n"/>
      <c r="C146" s="19" t="n"/>
      <c r="D146" s="19" t="n"/>
      <c r="E146" s="18" t="n"/>
      <c r="F146" s="18" t="n"/>
      <c r="G146" s="18" t="n"/>
      <c r="H146" s="19" t="n"/>
      <c r="I146" s="18" t="n"/>
      <c r="J146" s="18" t="n"/>
      <c r="K146" s="18" t="n"/>
      <c r="L146" s="19" t="n"/>
      <c r="M146" s="21" t="n"/>
      <c r="N146" s="22" t="n"/>
      <c r="O146" s="21" t="n"/>
      <c r="P146" s="23">
        <f>IF(M146="","",IF(OR(M146="OOTB",M146="Konfigurace",M146="Custom vývoj"),IF(O146="","CHYBÍ odkaz FS","OK"),"N/A"))</f>
        <v/>
      </c>
      <c r="Q146" s="23">
        <f>IF(F146="Must",3,IF(F146="Should",2,IF(F146="Could",1,0)))</f>
        <v/>
      </c>
      <c r="R146" s="23">
        <f>IF(M146="","",IF(M146="OOTB",5,IF(M146="Konfigurace",3,IF(M146="Custom vývoj",1,IF(OR(M146="3rd party",M146="Nesplněno"),0,"")))))</f>
        <v/>
      </c>
      <c r="S146" s="24" t="n"/>
      <c r="T146" s="23">
        <f>IF(R146="","",IF(OR(P146="CHYBÍ odkaz FS",S146="Ne"),0,R146))</f>
        <v/>
      </c>
      <c r="U146" s="23">
        <f>IF(G146&lt;&gt;"Ano","",IF(M146="","",IF(OR(M146="Nesplněno",M146="3rd party",M146="Neakceptuje",S146="Ne",P146="CHYBÍ odkaz FS"),"FAIL",IF(M146="Akceptuje s výhradou","K VYJASNĚNÍ","PASS"))))</f>
        <v/>
      </c>
      <c r="V146" s="23">
        <f>IF(AND(J146="Byznys (30 %)",G146&lt;&gt;"Ano",ISNUMBER(T146)),T146*Q146,0)</f>
        <v/>
      </c>
      <c r="W146" s="23">
        <f>IF(AND(J146="Byznys (30 %)",G146&lt;&gt;"Ano",F146&lt;&gt;"Won't"),5*Q146,0)</f>
        <v/>
      </c>
      <c r="X146" s="25" t="n"/>
    </row>
    <row r="147">
      <c r="A147" s="18" t="n"/>
      <c r="B147" s="18" t="n"/>
      <c r="C147" s="19" t="n"/>
      <c r="D147" s="19" t="n"/>
      <c r="E147" s="18" t="n"/>
      <c r="F147" s="18" t="n"/>
      <c r="G147" s="18" t="n"/>
      <c r="H147" s="19" t="n"/>
      <c r="I147" s="18" t="n"/>
      <c r="J147" s="18" t="n"/>
      <c r="K147" s="18" t="n"/>
      <c r="L147" s="19" t="n"/>
      <c r="M147" s="21" t="n"/>
      <c r="N147" s="22" t="n"/>
      <c r="O147" s="21" t="n"/>
      <c r="P147" s="23">
        <f>IF(M147="","",IF(OR(M147="OOTB",M147="Konfigurace",M147="Custom vývoj"),IF(O147="","CHYBÍ odkaz FS","OK"),"N/A"))</f>
        <v/>
      </c>
      <c r="Q147" s="23">
        <f>IF(F147="Must",3,IF(F147="Should",2,IF(F147="Could",1,0)))</f>
        <v/>
      </c>
      <c r="R147" s="23">
        <f>IF(M147="","",IF(M147="OOTB",5,IF(M147="Konfigurace",3,IF(M147="Custom vývoj",1,IF(OR(M147="3rd party",M147="Nesplněno"),0,"")))))</f>
        <v/>
      </c>
      <c r="S147" s="24" t="n"/>
      <c r="T147" s="23">
        <f>IF(R147="","",IF(OR(P147="CHYBÍ odkaz FS",S147="Ne"),0,R147))</f>
        <v/>
      </c>
      <c r="U147" s="23">
        <f>IF(G147&lt;&gt;"Ano","",IF(M147="","",IF(OR(M147="Nesplněno",M147="3rd party",M147="Neakceptuje",S147="Ne",P147="CHYBÍ odkaz FS"),"FAIL",IF(M147="Akceptuje s výhradou","K VYJASNĚNÍ","PASS"))))</f>
        <v/>
      </c>
      <c r="V147" s="23">
        <f>IF(AND(J147="Byznys (30 %)",G147&lt;&gt;"Ano",ISNUMBER(T147)),T147*Q147,0)</f>
        <v/>
      </c>
      <c r="W147" s="23">
        <f>IF(AND(J147="Byznys (30 %)",G147&lt;&gt;"Ano",F147&lt;&gt;"Won't"),5*Q147,0)</f>
        <v/>
      </c>
      <c r="X147" s="25" t="n"/>
    </row>
    <row r="148">
      <c r="A148" s="18" t="n"/>
      <c r="B148" s="18" t="n"/>
      <c r="C148" s="19" t="n"/>
      <c r="D148" s="19" t="n"/>
      <c r="E148" s="18" t="n"/>
      <c r="F148" s="18" t="n"/>
      <c r="G148" s="18" t="n"/>
      <c r="H148" s="19" t="n"/>
      <c r="I148" s="18" t="n"/>
      <c r="J148" s="18" t="n"/>
      <c r="K148" s="18" t="n"/>
      <c r="L148" s="19" t="n"/>
      <c r="M148" s="21" t="n"/>
      <c r="N148" s="22" t="n"/>
      <c r="O148" s="21" t="n"/>
      <c r="P148" s="23">
        <f>IF(M148="","",IF(OR(M148="OOTB",M148="Konfigurace",M148="Custom vývoj"),IF(O148="","CHYBÍ odkaz FS","OK"),"N/A"))</f>
        <v/>
      </c>
      <c r="Q148" s="23">
        <f>IF(F148="Must",3,IF(F148="Should",2,IF(F148="Could",1,0)))</f>
        <v/>
      </c>
      <c r="R148" s="23">
        <f>IF(M148="","",IF(M148="OOTB",5,IF(M148="Konfigurace",3,IF(M148="Custom vývoj",1,IF(OR(M148="3rd party",M148="Nesplněno"),0,"")))))</f>
        <v/>
      </c>
      <c r="S148" s="24" t="n"/>
      <c r="T148" s="23">
        <f>IF(R148="","",IF(OR(P148="CHYBÍ odkaz FS",S148="Ne"),0,R148))</f>
        <v/>
      </c>
      <c r="U148" s="23">
        <f>IF(G148&lt;&gt;"Ano","",IF(M148="","",IF(OR(M148="Nesplněno",M148="3rd party",M148="Neakceptuje",S148="Ne",P148="CHYBÍ odkaz FS"),"FAIL",IF(M148="Akceptuje s výhradou","K VYJASNĚNÍ","PASS"))))</f>
        <v/>
      </c>
      <c r="V148" s="23">
        <f>IF(AND(J148="Byznys (30 %)",G148&lt;&gt;"Ano",ISNUMBER(T148)),T148*Q148,0)</f>
        <v/>
      </c>
      <c r="W148" s="23">
        <f>IF(AND(J148="Byznys (30 %)",G148&lt;&gt;"Ano",F148&lt;&gt;"Won't"),5*Q148,0)</f>
        <v/>
      </c>
      <c r="X148" s="25" t="n"/>
    </row>
    <row r="149">
      <c r="A149" s="18" t="n"/>
      <c r="B149" s="18" t="n"/>
      <c r="C149" s="19" t="n"/>
      <c r="D149" s="19" t="n"/>
      <c r="E149" s="18" t="n"/>
      <c r="F149" s="18" t="n"/>
      <c r="G149" s="18" t="n"/>
      <c r="H149" s="19" t="n"/>
      <c r="I149" s="18" t="n"/>
      <c r="J149" s="18" t="n"/>
      <c r="K149" s="18" t="n"/>
      <c r="L149" s="19" t="n"/>
      <c r="M149" s="21" t="n"/>
      <c r="N149" s="22" t="n"/>
      <c r="O149" s="21" t="n"/>
      <c r="P149" s="23">
        <f>IF(M149="","",IF(OR(M149="OOTB",M149="Konfigurace",M149="Custom vývoj"),IF(O149="","CHYBÍ odkaz FS","OK"),"N/A"))</f>
        <v/>
      </c>
      <c r="Q149" s="23">
        <f>IF(F149="Must",3,IF(F149="Should",2,IF(F149="Could",1,0)))</f>
        <v/>
      </c>
      <c r="R149" s="23">
        <f>IF(M149="","",IF(M149="OOTB",5,IF(M149="Konfigurace",3,IF(M149="Custom vývoj",1,IF(OR(M149="3rd party",M149="Nesplněno"),0,"")))))</f>
        <v/>
      </c>
      <c r="S149" s="24" t="n"/>
      <c r="T149" s="23">
        <f>IF(R149="","",IF(OR(P149="CHYBÍ odkaz FS",S149="Ne"),0,R149))</f>
        <v/>
      </c>
      <c r="U149" s="23">
        <f>IF(G149&lt;&gt;"Ano","",IF(M149="","",IF(OR(M149="Nesplněno",M149="3rd party",M149="Neakceptuje",S149="Ne",P149="CHYBÍ odkaz FS"),"FAIL",IF(M149="Akceptuje s výhradou","K VYJASNĚNÍ","PASS"))))</f>
        <v/>
      </c>
      <c r="V149" s="23">
        <f>IF(AND(J149="Byznys (30 %)",G149&lt;&gt;"Ano",ISNUMBER(T149)),T149*Q149,0)</f>
        <v/>
      </c>
      <c r="W149" s="23">
        <f>IF(AND(J149="Byznys (30 %)",G149&lt;&gt;"Ano",F149&lt;&gt;"Won't"),5*Q149,0)</f>
        <v/>
      </c>
      <c r="X149" s="25" t="n"/>
    </row>
    <row r="150">
      <c r="A150" s="18" t="n"/>
      <c r="B150" s="18" t="n"/>
      <c r="C150" s="19" t="n"/>
      <c r="D150" s="19" t="n"/>
      <c r="E150" s="18" t="n"/>
      <c r="F150" s="18" t="n"/>
      <c r="G150" s="18" t="n"/>
      <c r="H150" s="19" t="n"/>
      <c r="I150" s="18" t="n"/>
      <c r="J150" s="18" t="n"/>
      <c r="K150" s="18" t="n"/>
      <c r="L150" s="19" t="n"/>
      <c r="M150" s="21" t="n"/>
      <c r="N150" s="22" t="n"/>
      <c r="O150" s="21" t="n"/>
      <c r="P150" s="23">
        <f>IF(M150="","",IF(OR(M150="OOTB",M150="Konfigurace",M150="Custom vývoj"),IF(O150="","CHYBÍ odkaz FS","OK"),"N/A"))</f>
        <v/>
      </c>
      <c r="Q150" s="23">
        <f>IF(F150="Must",3,IF(F150="Should",2,IF(F150="Could",1,0)))</f>
        <v/>
      </c>
      <c r="R150" s="23">
        <f>IF(M150="","",IF(M150="OOTB",5,IF(M150="Konfigurace",3,IF(M150="Custom vývoj",1,IF(OR(M150="3rd party",M150="Nesplněno"),0,"")))))</f>
        <v/>
      </c>
      <c r="S150" s="24" t="n"/>
      <c r="T150" s="23">
        <f>IF(R150="","",IF(OR(P150="CHYBÍ odkaz FS",S150="Ne"),0,R150))</f>
        <v/>
      </c>
      <c r="U150" s="23">
        <f>IF(G150&lt;&gt;"Ano","",IF(M150="","",IF(OR(M150="Nesplněno",M150="3rd party",M150="Neakceptuje",S150="Ne",P150="CHYBÍ odkaz FS"),"FAIL",IF(M150="Akceptuje s výhradou","K VYJASNĚNÍ","PASS"))))</f>
        <v/>
      </c>
      <c r="V150" s="23">
        <f>IF(AND(J150="Byznys (30 %)",G150&lt;&gt;"Ano",ISNUMBER(T150)),T150*Q150,0)</f>
        <v/>
      </c>
      <c r="W150" s="23">
        <f>IF(AND(J150="Byznys (30 %)",G150&lt;&gt;"Ano",F150&lt;&gt;"Won't"),5*Q150,0)</f>
        <v/>
      </c>
      <c r="X150" s="25" t="n"/>
    </row>
    <row r="151">
      <c r="A151" s="18" t="n"/>
      <c r="B151" s="18" t="n"/>
      <c r="C151" s="19" t="n"/>
      <c r="D151" s="19" t="n"/>
      <c r="E151" s="18" t="n"/>
      <c r="F151" s="18" t="n"/>
      <c r="G151" s="18" t="n"/>
      <c r="H151" s="19" t="n"/>
      <c r="I151" s="18" t="n"/>
      <c r="J151" s="18" t="n"/>
      <c r="K151" s="18" t="n"/>
      <c r="L151" s="19" t="n"/>
      <c r="M151" s="21" t="n"/>
      <c r="N151" s="22" t="n"/>
      <c r="O151" s="21" t="n"/>
      <c r="P151" s="23">
        <f>IF(M151="","",IF(OR(M151="OOTB",M151="Konfigurace",M151="Custom vývoj"),IF(O151="","CHYBÍ odkaz FS","OK"),"N/A"))</f>
        <v/>
      </c>
      <c r="Q151" s="23">
        <f>IF(F151="Must",3,IF(F151="Should",2,IF(F151="Could",1,0)))</f>
        <v/>
      </c>
      <c r="R151" s="23">
        <f>IF(M151="","",IF(M151="OOTB",5,IF(M151="Konfigurace",3,IF(M151="Custom vývoj",1,IF(OR(M151="3rd party",M151="Nesplněno"),0,"")))))</f>
        <v/>
      </c>
      <c r="S151" s="24" t="n"/>
      <c r="T151" s="23">
        <f>IF(R151="","",IF(OR(P151="CHYBÍ odkaz FS",S151="Ne"),0,R151))</f>
        <v/>
      </c>
      <c r="U151" s="23">
        <f>IF(G151&lt;&gt;"Ano","",IF(M151="","",IF(OR(M151="Nesplněno",M151="3rd party",M151="Neakceptuje",S151="Ne",P151="CHYBÍ odkaz FS"),"FAIL",IF(M151="Akceptuje s výhradou","K VYJASNĚNÍ","PASS"))))</f>
        <v/>
      </c>
      <c r="V151" s="23">
        <f>IF(AND(J151="Byznys (30 %)",G151&lt;&gt;"Ano",ISNUMBER(T151)),T151*Q151,0)</f>
        <v/>
      </c>
      <c r="W151" s="23">
        <f>IF(AND(J151="Byznys (30 %)",G151&lt;&gt;"Ano",F151&lt;&gt;"Won't"),5*Q151,0)</f>
        <v/>
      </c>
      <c r="X151" s="25" t="n"/>
    </row>
    <row r="152">
      <c r="A152" s="18" t="n"/>
      <c r="B152" s="18" t="n"/>
      <c r="C152" s="19" t="n"/>
      <c r="D152" s="19" t="n"/>
      <c r="E152" s="18" t="n"/>
      <c r="F152" s="18" t="n"/>
      <c r="G152" s="18" t="n"/>
      <c r="H152" s="19" t="n"/>
      <c r="I152" s="18" t="n"/>
      <c r="J152" s="18" t="n"/>
      <c r="K152" s="18" t="n"/>
      <c r="L152" s="19" t="n"/>
      <c r="M152" s="21" t="n"/>
      <c r="N152" s="22" t="n"/>
      <c r="O152" s="21" t="n"/>
      <c r="P152" s="23">
        <f>IF(M152="","",IF(OR(M152="OOTB",M152="Konfigurace",M152="Custom vývoj"),IF(O152="","CHYBÍ odkaz FS","OK"),"N/A"))</f>
        <v/>
      </c>
      <c r="Q152" s="23">
        <f>IF(F152="Must",3,IF(F152="Should",2,IF(F152="Could",1,0)))</f>
        <v/>
      </c>
      <c r="R152" s="23">
        <f>IF(M152="","",IF(M152="OOTB",5,IF(M152="Konfigurace",3,IF(M152="Custom vývoj",1,IF(OR(M152="3rd party",M152="Nesplněno"),0,"")))))</f>
        <v/>
      </c>
      <c r="S152" s="24" t="n"/>
      <c r="T152" s="23">
        <f>IF(R152="","",IF(OR(P152="CHYBÍ odkaz FS",S152="Ne"),0,R152))</f>
        <v/>
      </c>
      <c r="U152" s="23">
        <f>IF(G152&lt;&gt;"Ano","",IF(M152="","",IF(OR(M152="Nesplněno",M152="3rd party",M152="Neakceptuje",S152="Ne",P152="CHYBÍ odkaz FS"),"FAIL",IF(M152="Akceptuje s výhradou","K VYJASNĚNÍ","PASS"))))</f>
        <v/>
      </c>
      <c r="V152" s="23">
        <f>IF(AND(J152="Byznys (30 %)",G152&lt;&gt;"Ano",ISNUMBER(T152)),T152*Q152,0)</f>
        <v/>
      </c>
      <c r="W152" s="23">
        <f>IF(AND(J152="Byznys (30 %)",G152&lt;&gt;"Ano",F152&lt;&gt;"Won't"),5*Q152,0)</f>
        <v/>
      </c>
      <c r="X152" s="25" t="n"/>
    </row>
    <row r="153">
      <c r="A153" s="18" t="n"/>
      <c r="B153" s="18" t="n"/>
      <c r="C153" s="19" t="n"/>
      <c r="D153" s="19" t="n"/>
      <c r="E153" s="18" t="n"/>
      <c r="F153" s="18" t="n"/>
      <c r="G153" s="18" t="n"/>
      <c r="H153" s="19" t="n"/>
      <c r="I153" s="18" t="n"/>
      <c r="J153" s="18" t="n"/>
      <c r="K153" s="18" t="n"/>
      <c r="L153" s="19" t="n"/>
      <c r="M153" s="21" t="n"/>
      <c r="N153" s="22" t="n"/>
      <c r="O153" s="21" t="n"/>
      <c r="P153" s="23">
        <f>IF(M153="","",IF(OR(M153="OOTB",M153="Konfigurace",M153="Custom vývoj"),IF(O153="","CHYBÍ odkaz FS","OK"),"N/A"))</f>
        <v/>
      </c>
      <c r="Q153" s="23">
        <f>IF(F153="Must",3,IF(F153="Should",2,IF(F153="Could",1,0)))</f>
        <v/>
      </c>
      <c r="R153" s="23">
        <f>IF(M153="","",IF(M153="OOTB",5,IF(M153="Konfigurace",3,IF(M153="Custom vývoj",1,IF(OR(M153="3rd party",M153="Nesplněno"),0,"")))))</f>
        <v/>
      </c>
      <c r="S153" s="24" t="n"/>
      <c r="T153" s="23">
        <f>IF(R153="","",IF(OR(P153="CHYBÍ odkaz FS",S153="Ne"),0,R153))</f>
        <v/>
      </c>
      <c r="U153" s="23">
        <f>IF(G153&lt;&gt;"Ano","",IF(M153="","",IF(OR(M153="Nesplněno",M153="3rd party",M153="Neakceptuje",S153="Ne",P153="CHYBÍ odkaz FS"),"FAIL",IF(M153="Akceptuje s výhradou","K VYJASNĚNÍ","PASS"))))</f>
        <v/>
      </c>
      <c r="V153" s="23">
        <f>IF(AND(J153="Byznys (30 %)",G153&lt;&gt;"Ano",ISNUMBER(T153)),T153*Q153,0)</f>
        <v/>
      </c>
      <c r="W153" s="23">
        <f>IF(AND(J153="Byznys (30 %)",G153&lt;&gt;"Ano",F153&lt;&gt;"Won't"),5*Q153,0)</f>
        <v/>
      </c>
      <c r="X153" s="25" t="n"/>
    </row>
    <row r="154">
      <c r="A154" s="18" t="n"/>
      <c r="B154" s="18" t="n"/>
      <c r="C154" s="19" t="n"/>
      <c r="D154" s="19" t="n"/>
      <c r="E154" s="18" t="n"/>
      <c r="F154" s="18" t="n"/>
      <c r="G154" s="18" t="n"/>
      <c r="H154" s="19" t="n"/>
      <c r="I154" s="18" t="n"/>
      <c r="J154" s="18" t="n"/>
      <c r="K154" s="18" t="n"/>
      <c r="L154" s="19" t="n"/>
      <c r="M154" s="21" t="n"/>
      <c r="N154" s="22" t="n"/>
      <c r="O154" s="21" t="n"/>
      <c r="P154" s="23">
        <f>IF(M154="","",IF(OR(M154="OOTB",M154="Konfigurace",M154="Custom vývoj"),IF(O154="","CHYBÍ odkaz FS","OK"),"N/A"))</f>
        <v/>
      </c>
      <c r="Q154" s="23">
        <f>IF(F154="Must",3,IF(F154="Should",2,IF(F154="Could",1,0)))</f>
        <v/>
      </c>
      <c r="R154" s="23">
        <f>IF(M154="","",IF(M154="OOTB",5,IF(M154="Konfigurace",3,IF(M154="Custom vývoj",1,IF(OR(M154="3rd party",M154="Nesplněno"),0,"")))))</f>
        <v/>
      </c>
      <c r="S154" s="24" t="n"/>
      <c r="T154" s="23">
        <f>IF(R154="","",IF(OR(P154="CHYBÍ odkaz FS",S154="Ne"),0,R154))</f>
        <v/>
      </c>
      <c r="U154" s="23">
        <f>IF(G154&lt;&gt;"Ano","",IF(M154="","",IF(OR(M154="Nesplněno",M154="3rd party",M154="Neakceptuje",S154="Ne",P154="CHYBÍ odkaz FS"),"FAIL",IF(M154="Akceptuje s výhradou","K VYJASNĚNÍ","PASS"))))</f>
        <v/>
      </c>
      <c r="V154" s="23">
        <f>IF(AND(J154="Byznys (30 %)",G154&lt;&gt;"Ano",ISNUMBER(T154)),T154*Q154,0)</f>
        <v/>
      </c>
      <c r="W154" s="23">
        <f>IF(AND(J154="Byznys (30 %)",G154&lt;&gt;"Ano",F154&lt;&gt;"Won't"),5*Q154,0)</f>
        <v/>
      </c>
      <c r="X154" s="25" t="n"/>
    </row>
    <row r="155">
      <c r="A155" s="18" t="n"/>
      <c r="B155" s="18" t="n"/>
      <c r="C155" s="19" t="n"/>
      <c r="D155" s="19" t="n"/>
      <c r="E155" s="18" t="n"/>
      <c r="F155" s="18" t="n"/>
      <c r="G155" s="18" t="n"/>
      <c r="H155" s="19" t="n"/>
      <c r="I155" s="18" t="n"/>
      <c r="J155" s="18" t="n"/>
      <c r="K155" s="18" t="n"/>
      <c r="L155" s="19" t="n"/>
      <c r="M155" s="21" t="n"/>
      <c r="N155" s="22" t="n"/>
      <c r="O155" s="21" t="n"/>
      <c r="P155" s="23">
        <f>IF(M155="","",IF(OR(M155="OOTB",M155="Konfigurace",M155="Custom vývoj"),IF(O155="","CHYBÍ odkaz FS","OK"),"N/A"))</f>
        <v/>
      </c>
      <c r="Q155" s="23">
        <f>IF(F155="Must",3,IF(F155="Should",2,IF(F155="Could",1,0)))</f>
        <v/>
      </c>
      <c r="R155" s="23">
        <f>IF(M155="","",IF(M155="OOTB",5,IF(M155="Konfigurace",3,IF(M155="Custom vývoj",1,IF(OR(M155="3rd party",M155="Nesplněno"),0,"")))))</f>
        <v/>
      </c>
      <c r="S155" s="24" t="n"/>
      <c r="T155" s="23">
        <f>IF(R155="","",IF(OR(P155="CHYBÍ odkaz FS",S155="Ne"),0,R155))</f>
        <v/>
      </c>
      <c r="U155" s="23">
        <f>IF(G155&lt;&gt;"Ano","",IF(M155="","",IF(OR(M155="Nesplněno",M155="3rd party",M155="Neakceptuje",S155="Ne",P155="CHYBÍ odkaz FS"),"FAIL",IF(M155="Akceptuje s výhradou","K VYJASNĚNÍ","PASS"))))</f>
        <v/>
      </c>
      <c r="V155" s="23">
        <f>IF(AND(J155="Byznys (30 %)",G155&lt;&gt;"Ano",ISNUMBER(T155)),T155*Q155,0)</f>
        <v/>
      </c>
      <c r="W155" s="23">
        <f>IF(AND(J155="Byznys (30 %)",G155&lt;&gt;"Ano",F155&lt;&gt;"Won't"),5*Q155,0)</f>
        <v/>
      </c>
      <c r="X155" s="25" t="n"/>
    </row>
    <row r="156">
      <c r="A156" s="18" t="n"/>
      <c r="B156" s="18" t="n"/>
      <c r="C156" s="19" t="n"/>
      <c r="D156" s="19" t="n"/>
      <c r="E156" s="18" t="n"/>
      <c r="F156" s="18" t="n"/>
      <c r="G156" s="18" t="n"/>
      <c r="H156" s="19" t="n"/>
      <c r="I156" s="18" t="n"/>
      <c r="J156" s="18" t="n"/>
      <c r="K156" s="18" t="n"/>
      <c r="L156" s="19" t="n"/>
      <c r="M156" s="21" t="n"/>
      <c r="N156" s="22" t="n"/>
      <c r="O156" s="21" t="n"/>
      <c r="P156" s="23">
        <f>IF(M156="","",IF(OR(M156="OOTB",M156="Konfigurace",M156="Custom vývoj"),IF(O156="","CHYBÍ odkaz FS","OK"),"N/A"))</f>
        <v/>
      </c>
      <c r="Q156" s="23">
        <f>IF(F156="Must",3,IF(F156="Should",2,IF(F156="Could",1,0)))</f>
        <v/>
      </c>
      <c r="R156" s="23">
        <f>IF(M156="","",IF(M156="OOTB",5,IF(M156="Konfigurace",3,IF(M156="Custom vývoj",1,IF(OR(M156="3rd party",M156="Nesplněno"),0,"")))))</f>
        <v/>
      </c>
      <c r="S156" s="24" t="n"/>
      <c r="T156" s="23">
        <f>IF(R156="","",IF(OR(P156="CHYBÍ odkaz FS",S156="Ne"),0,R156))</f>
        <v/>
      </c>
      <c r="U156" s="23">
        <f>IF(G156&lt;&gt;"Ano","",IF(M156="","",IF(OR(M156="Nesplněno",M156="3rd party",M156="Neakceptuje",S156="Ne",P156="CHYBÍ odkaz FS"),"FAIL",IF(M156="Akceptuje s výhradou","K VYJASNĚNÍ","PASS"))))</f>
        <v/>
      </c>
      <c r="V156" s="23">
        <f>IF(AND(J156="Byznys (30 %)",G156&lt;&gt;"Ano",ISNUMBER(T156)),T156*Q156,0)</f>
        <v/>
      </c>
      <c r="W156" s="23">
        <f>IF(AND(J156="Byznys (30 %)",G156&lt;&gt;"Ano",F156&lt;&gt;"Won't"),5*Q156,0)</f>
        <v/>
      </c>
      <c r="X156" s="25" t="n"/>
    </row>
    <row r="157">
      <c r="A157" s="18" t="n"/>
      <c r="B157" s="18" t="n"/>
      <c r="C157" s="19" t="n"/>
      <c r="D157" s="19" t="n"/>
      <c r="E157" s="18" t="n"/>
      <c r="F157" s="18" t="n"/>
      <c r="G157" s="18" t="n"/>
      <c r="H157" s="19" t="n"/>
      <c r="I157" s="18" t="n"/>
      <c r="J157" s="18" t="n"/>
      <c r="K157" s="18" t="n"/>
      <c r="L157" s="19" t="n"/>
      <c r="M157" s="21" t="n"/>
      <c r="N157" s="22" t="n"/>
      <c r="O157" s="21" t="n"/>
      <c r="P157" s="23">
        <f>IF(M157="","",IF(OR(M157="OOTB",M157="Konfigurace",M157="Custom vývoj"),IF(O157="","CHYBÍ odkaz FS","OK"),"N/A"))</f>
        <v/>
      </c>
      <c r="Q157" s="23">
        <f>IF(F157="Must",3,IF(F157="Should",2,IF(F157="Could",1,0)))</f>
        <v/>
      </c>
      <c r="R157" s="23">
        <f>IF(M157="","",IF(M157="OOTB",5,IF(M157="Konfigurace",3,IF(M157="Custom vývoj",1,IF(OR(M157="3rd party",M157="Nesplněno"),0,"")))))</f>
        <v/>
      </c>
      <c r="S157" s="24" t="n"/>
      <c r="T157" s="23">
        <f>IF(R157="","",IF(OR(P157="CHYBÍ odkaz FS",S157="Ne"),0,R157))</f>
        <v/>
      </c>
      <c r="U157" s="23">
        <f>IF(G157&lt;&gt;"Ano","",IF(M157="","",IF(OR(M157="Nesplněno",M157="3rd party",M157="Neakceptuje",S157="Ne",P157="CHYBÍ odkaz FS"),"FAIL",IF(M157="Akceptuje s výhradou","K VYJASNĚNÍ","PASS"))))</f>
        <v/>
      </c>
      <c r="V157" s="23">
        <f>IF(AND(J157="Byznys (30 %)",G157&lt;&gt;"Ano",ISNUMBER(T157)),T157*Q157,0)</f>
        <v/>
      </c>
      <c r="W157" s="23">
        <f>IF(AND(J157="Byznys (30 %)",G157&lt;&gt;"Ano",F157&lt;&gt;"Won't"),5*Q157,0)</f>
        <v/>
      </c>
      <c r="X157" s="25" t="n"/>
    </row>
    <row r="158">
      <c r="A158" s="18" t="n"/>
      <c r="B158" s="18" t="n"/>
      <c r="C158" s="19" t="n"/>
      <c r="D158" s="19" t="n"/>
      <c r="E158" s="18" t="n"/>
      <c r="F158" s="18" t="n"/>
      <c r="G158" s="18" t="n"/>
      <c r="H158" s="19" t="n"/>
      <c r="I158" s="18" t="n"/>
      <c r="J158" s="18" t="n"/>
      <c r="K158" s="18" t="n"/>
      <c r="L158" s="19" t="n"/>
      <c r="M158" s="21" t="n"/>
      <c r="N158" s="22" t="n"/>
      <c r="O158" s="21" t="n"/>
      <c r="P158" s="23">
        <f>IF(M158="","",IF(OR(M158="OOTB",M158="Konfigurace",M158="Custom vývoj"),IF(O158="","CHYBÍ odkaz FS","OK"),"N/A"))</f>
        <v/>
      </c>
      <c r="Q158" s="23">
        <f>IF(F158="Must",3,IF(F158="Should",2,IF(F158="Could",1,0)))</f>
        <v/>
      </c>
      <c r="R158" s="23">
        <f>IF(M158="","",IF(M158="OOTB",5,IF(M158="Konfigurace",3,IF(M158="Custom vývoj",1,IF(OR(M158="3rd party",M158="Nesplněno"),0,"")))))</f>
        <v/>
      </c>
      <c r="S158" s="24" t="n"/>
      <c r="T158" s="23">
        <f>IF(R158="","",IF(OR(P158="CHYBÍ odkaz FS",S158="Ne"),0,R158))</f>
        <v/>
      </c>
      <c r="U158" s="23">
        <f>IF(G158&lt;&gt;"Ano","",IF(M158="","",IF(OR(M158="Nesplněno",M158="3rd party",M158="Neakceptuje",S158="Ne",P158="CHYBÍ odkaz FS"),"FAIL",IF(M158="Akceptuje s výhradou","K VYJASNĚNÍ","PASS"))))</f>
        <v/>
      </c>
      <c r="V158" s="23">
        <f>IF(AND(J158="Byznys (30 %)",G158&lt;&gt;"Ano",ISNUMBER(T158)),T158*Q158,0)</f>
        <v/>
      </c>
      <c r="W158" s="23">
        <f>IF(AND(J158="Byznys (30 %)",G158&lt;&gt;"Ano",F158&lt;&gt;"Won't"),5*Q158,0)</f>
        <v/>
      </c>
      <c r="X158" s="2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761"/>
  <autoFilter ref="A5:X158"/>
  <conditionalFormatting sqref="U6:U158">
    <cfRule type="cellIs" priority="1" operator="equal" dxfId="0">
      <formula>"FAIL"</formula>
    </cfRule>
    <cfRule type="cellIs" priority="2" operator="equal" dxfId="1">
      <formula>"PASS"</formula>
    </cfRule>
    <cfRule type="cellIs" priority="3" operator="equal" dxfId="2">
      <formula>"K VYJASNĚNÍ"</formula>
    </cfRule>
  </conditionalFormatting>
  <conditionalFormatting sqref="K6:K158">
    <cfRule type="cellIs" priority="4" operator="equal" dxfId="2">
      <formula>"K diskusi"</formula>
    </cfRule>
  </conditionalFormatting>
  <conditionalFormatting sqref="X6:X158">
    <cfRule type="expression" priority="5" dxfId="0">
      <formula>AND(ISNUMBER(T6),T6&lt;R6,X6="")</formula>
    </cfRule>
  </conditionalFormatting>
  <conditionalFormatting sqref="P6:P158">
    <cfRule type="cellIs" priority="6" operator="equal" dxfId="0">
      <formula>"CHYBÍ odkaz FS"</formula>
    </cfRule>
    <cfRule type="cellIs" priority="7" operator="equal" dxfId="1">
      <formula>"OK"</formula>
    </cfRule>
  </conditionalFormatting>
  <dataValidations count="160">
    <dataValidation sqref="M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2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2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2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2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2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2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2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2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2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2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3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3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3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3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3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3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3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3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3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3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4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4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4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4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4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4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4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4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4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4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5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5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5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5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5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5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5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5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5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5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6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6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6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6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6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6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6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6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6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6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7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7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7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7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7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7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7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7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7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7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8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8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8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8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8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8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8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8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8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8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9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9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9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9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9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9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9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9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9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9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0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0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0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0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0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0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0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0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0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0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1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1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1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1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1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1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1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1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1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1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2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2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2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2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2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2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2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2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2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2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3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3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3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3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3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3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3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3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3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3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4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4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4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4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4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4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4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4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4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49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50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51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52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53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54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55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56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57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M158" showDropDown="0" showInputMessage="0" showErrorMessage="0" allowBlank="1" errorTitle="Neplatná hodnota" error="Vyberte hodnotu ze seznamu." type="list">
      <formula1>"OOTB,Konfigurace,Custom vývoj,3rd party,Nesplněno,Akceptuje,Akceptuje s výhradou,Neakceptuje"</formula1>
    </dataValidation>
    <dataValidation sqref="F6:F158" showDropDown="0" showInputMessage="0" showErrorMessage="0" allowBlank="1" errorTitle="Neplatná hodnota" error="Vyberte hodnotu ze seznamu." type="list">
      <formula1>"Must,Should,Could,Won't"</formula1>
    </dataValidation>
    <dataValidation sqref="G6:G158" showDropDown="0" showInputMessage="0" showErrorMessage="0" allowBlank="1" errorTitle="Neplatná hodnota" error="Vyberte hodnotu ze seznamu." type="list">
      <formula1>"Ano,Ne"</formula1>
    </dataValidation>
    <dataValidation sqref="B6:B158" showDropDown="0" showInputMessage="0" showErrorMessage="0" allowBlank="1" errorTitle="Neplatná hodnota" error="Vyberte hodnotu ze seznamu." type="list">
      <formula1>"KYC,SCR,TM,CAS,REP,INT,MIG,NFR,SEC,REG,LEG"</formula1>
    </dataValidation>
    <dataValidation sqref="E6:E158" showDropDown="0" showInputMessage="0" showErrorMessage="0" allowBlank="1" errorTitle="Neplatná hodnota" error="Vyberte hodnotu ze seznamu." type="list">
      <formula1>"IT,Compliance,Legal,Obchod"</formula1>
    </dataValidation>
    <dataValidation sqref="J6:J158" showDropDown="0" showInputMessage="0" showErrorMessage="0" allowBlank="1" errorTitle="Neplatná hodnota" error="Vyberte hodnotu ze seznamu." type="list">
      <formula1>"K.O. (Pass/Fail),Byznys (30 %),Podklad pro FS (20 %),Smluvní podmínka"</formula1>
    </dataValidation>
    <dataValidation sqref="K6:K158" showDropDown="0" showInputMessage="0" showErrorMessage="0" allowBlank="1" errorTitle="Neplatná hodnota" error="Vyberte hodnotu ze seznamu." type="list">
      <formula1>"Návrh,K diskusi,Schváleno s úpravou,Schváleno,Zamítnuto"</formula1>
    </dataValidation>
    <dataValidation sqref="S6:S158" showDropDown="0" showInputMessage="1" showErrorMessage="0" allowBlank="1" errorTitle="Neplatná hodnota" error="Vyberte hodnotu ze seznamu." prompt="Ano = tvrzení ověřeno ve FS / demu; Ne = neověřeno → 0 bodů" type="list">
      <formula1>"Ano,Ne"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Souhrn matice shody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4" t="inlineStr">
        <is>
          <t>Oblast</t>
        </is>
      </c>
      <c r="B5" s="14" t="inlineStr">
        <is>
          <t>Název oblasti</t>
        </is>
      </c>
      <c r="C5" s="14" t="inlineStr">
        <is>
          <t>Počet požadavků</t>
        </is>
      </c>
      <c r="D5" s="14" t="inlineStr">
        <is>
          <t>Must</t>
        </is>
      </c>
      <c r="E5" s="14" t="inlineStr">
        <is>
          <t>Should</t>
        </is>
      </c>
      <c r="F5" s="14" t="inlineStr">
        <is>
          <t>Could</t>
        </is>
      </c>
      <c r="G5" s="14" t="inlineStr">
        <is>
          <t>K.O.</t>
        </is>
      </c>
      <c r="H5" s="14" t="inlineStr">
        <is>
          <t>Vyplněno dodavatelem</t>
        </is>
      </c>
      <c r="I5" s="14" t="inlineStr">
        <is>
          <t>Custom vývoj</t>
        </is>
      </c>
      <c r="J5" s="14" t="inlineStr">
        <is>
          <t>Nesplněno / 3rd party</t>
        </is>
      </c>
      <c r="K5" s="14" t="inlineStr">
        <is>
          <t>Chybí odkaz FS</t>
        </is>
      </c>
    </row>
    <row r="6">
      <c r="A6" s="26" t="inlineStr">
        <is>
          <t>KYC</t>
        </is>
      </c>
      <c r="B6" s="26" t="inlineStr">
        <is>
          <t>Onboarding a kontrola klienta (KYC/CDD)</t>
        </is>
      </c>
      <c r="C6" s="26">
        <f>COUNTIF('Požadavky'!$B$6:$B$158,A6)</f>
        <v/>
      </c>
      <c r="D6" s="26">
        <f>COUNTIFS('Požadavky'!$B$6:$B$158,A6,'Požadavky'!$F$6:$F$158,"Must")</f>
        <v/>
      </c>
      <c r="E6" s="26">
        <f>COUNTIFS('Požadavky'!$B$6:$B$158,A6,'Požadavky'!$F$6:$F$158,"Should")</f>
        <v/>
      </c>
      <c r="F6" s="26">
        <f>COUNTIFS('Požadavky'!$B$6:$B$158,A6,'Požadavky'!$F$6:$F$158,"Could")</f>
        <v/>
      </c>
      <c r="G6" s="26">
        <f>COUNTIFS('Požadavky'!$B$6:$B$158,A6,'Požadavky'!$G$6:$G$158,"Ano")</f>
        <v/>
      </c>
      <c r="H6" s="26">
        <f>COUNTIFS('Požadavky'!$B$6:$B$158,A6,'Požadavky'!$M$6:$M$158,"&lt;&gt;")</f>
        <v/>
      </c>
      <c r="I6" s="26">
        <f>COUNTIFS('Požadavky'!$B$6:$B$158,A6,'Požadavky'!$M$6:$M$158,"Custom vývoj")</f>
        <v/>
      </c>
      <c r="J6" s="26">
        <f>COUNTIFS('Požadavky'!$B$6:$B$158,A6,'Požadavky'!$M$6:$M$158,"Nesplněno")+COUNTIFS('Požadavky'!$B$6:$B$158,A6,'Požadavky'!$M$6:$M$158,"3rd party")</f>
        <v/>
      </c>
      <c r="K6" s="26">
        <f>COUNTIFS('Požadavky'!$B$6:$B$158,A6,'Požadavky'!$P$6:$P$158,"CHYBÍ odkaz FS")</f>
        <v/>
      </c>
    </row>
    <row r="7">
      <c r="A7" s="26" t="inlineStr">
        <is>
          <t>SCR</t>
        </is>
      </c>
      <c r="B7" s="26" t="inlineStr">
        <is>
          <t>Screening (sankce, PEP, adverse media)</t>
        </is>
      </c>
      <c r="C7" s="26">
        <f>COUNTIF('Požadavky'!$B$6:$B$158,A7)</f>
        <v/>
      </c>
      <c r="D7" s="26">
        <f>COUNTIFS('Požadavky'!$B$6:$B$158,A7,'Požadavky'!$F$6:$F$158,"Must")</f>
        <v/>
      </c>
      <c r="E7" s="26">
        <f>COUNTIFS('Požadavky'!$B$6:$B$158,A7,'Požadavky'!$F$6:$F$158,"Should")</f>
        <v/>
      </c>
      <c r="F7" s="26">
        <f>COUNTIFS('Požadavky'!$B$6:$B$158,A7,'Požadavky'!$F$6:$F$158,"Could")</f>
        <v/>
      </c>
      <c r="G7" s="26">
        <f>COUNTIFS('Požadavky'!$B$6:$B$158,A7,'Požadavky'!$G$6:$G$158,"Ano")</f>
        <v/>
      </c>
      <c r="H7" s="26">
        <f>COUNTIFS('Požadavky'!$B$6:$B$158,A7,'Požadavky'!$M$6:$M$158,"&lt;&gt;")</f>
        <v/>
      </c>
      <c r="I7" s="26">
        <f>COUNTIFS('Požadavky'!$B$6:$B$158,A7,'Požadavky'!$M$6:$M$158,"Custom vývoj")</f>
        <v/>
      </c>
      <c r="J7" s="26">
        <f>COUNTIFS('Požadavky'!$B$6:$B$158,A7,'Požadavky'!$M$6:$M$158,"Nesplněno")+COUNTIFS('Požadavky'!$B$6:$B$158,A7,'Požadavky'!$M$6:$M$158,"3rd party")</f>
        <v/>
      </c>
      <c r="K7" s="26">
        <f>COUNTIFS('Požadavky'!$B$6:$B$158,A7,'Požadavky'!$P$6:$P$158,"CHYBÍ odkaz FS")</f>
        <v/>
      </c>
    </row>
    <row r="8">
      <c r="A8" s="26" t="inlineStr">
        <is>
          <t>TM</t>
        </is>
      </c>
      <c r="B8" s="26" t="inlineStr">
        <is>
          <t>Monitoring transakcí</t>
        </is>
      </c>
      <c r="C8" s="26">
        <f>COUNTIF('Požadavky'!$B$6:$B$158,A8)</f>
        <v/>
      </c>
      <c r="D8" s="26">
        <f>COUNTIFS('Požadavky'!$B$6:$B$158,A8,'Požadavky'!$F$6:$F$158,"Must")</f>
        <v/>
      </c>
      <c r="E8" s="26">
        <f>COUNTIFS('Požadavky'!$B$6:$B$158,A8,'Požadavky'!$F$6:$F$158,"Should")</f>
        <v/>
      </c>
      <c r="F8" s="26">
        <f>COUNTIFS('Požadavky'!$B$6:$B$158,A8,'Požadavky'!$F$6:$F$158,"Could")</f>
        <v/>
      </c>
      <c r="G8" s="26">
        <f>COUNTIFS('Požadavky'!$B$6:$B$158,A8,'Požadavky'!$G$6:$G$158,"Ano")</f>
        <v/>
      </c>
      <c r="H8" s="26">
        <f>COUNTIFS('Požadavky'!$B$6:$B$158,A8,'Požadavky'!$M$6:$M$158,"&lt;&gt;")</f>
        <v/>
      </c>
      <c r="I8" s="26">
        <f>COUNTIFS('Požadavky'!$B$6:$B$158,A8,'Požadavky'!$M$6:$M$158,"Custom vývoj")</f>
        <v/>
      </c>
      <c r="J8" s="26">
        <f>COUNTIFS('Požadavky'!$B$6:$B$158,A8,'Požadavky'!$M$6:$M$158,"Nesplněno")+COUNTIFS('Požadavky'!$B$6:$B$158,A8,'Požadavky'!$M$6:$M$158,"3rd party")</f>
        <v/>
      </c>
      <c r="K8" s="26">
        <f>COUNTIFS('Požadavky'!$B$6:$B$158,A8,'Požadavky'!$P$6:$P$158,"CHYBÍ odkaz FS")</f>
        <v/>
      </c>
    </row>
    <row r="9">
      <c r="A9" s="26" t="inlineStr">
        <is>
          <t>CAS</t>
        </is>
      </c>
      <c r="B9" s="26" t="inlineStr">
        <is>
          <t>Správa případů a rozhodování</t>
        </is>
      </c>
      <c r="C9" s="26">
        <f>COUNTIF('Požadavky'!$B$6:$B$158,A9)</f>
        <v/>
      </c>
      <c r="D9" s="26">
        <f>COUNTIFS('Požadavky'!$B$6:$B$158,A9,'Požadavky'!$F$6:$F$158,"Must")</f>
        <v/>
      </c>
      <c r="E9" s="26">
        <f>COUNTIFS('Požadavky'!$B$6:$B$158,A9,'Požadavky'!$F$6:$F$158,"Should")</f>
        <v/>
      </c>
      <c r="F9" s="26">
        <f>COUNTIFS('Požadavky'!$B$6:$B$158,A9,'Požadavky'!$F$6:$F$158,"Could")</f>
        <v/>
      </c>
      <c r="G9" s="26">
        <f>COUNTIFS('Požadavky'!$B$6:$B$158,A9,'Požadavky'!$G$6:$G$158,"Ano")</f>
        <v/>
      </c>
      <c r="H9" s="26">
        <f>COUNTIFS('Požadavky'!$B$6:$B$158,A9,'Požadavky'!$M$6:$M$158,"&lt;&gt;")</f>
        <v/>
      </c>
      <c r="I9" s="26">
        <f>COUNTIFS('Požadavky'!$B$6:$B$158,A9,'Požadavky'!$M$6:$M$158,"Custom vývoj")</f>
        <v/>
      </c>
      <c r="J9" s="26">
        <f>COUNTIFS('Požadavky'!$B$6:$B$158,A9,'Požadavky'!$M$6:$M$158,"Nesplněno")+COUNTIFS('Požadavky'!$B$6:$B$158,A9,'Požadavky'!$M$6:$M$158,"3rd party")</f>
        <v/>
      </c>
      <c r="K9" s="26">
        <f>COUNTIFS('Požadavky'!$B$6:$B$158,A9,'Požadavky'!$P$6:$P$158,"CHYBÍ odkaz FS")</f>
        <v/>
      </c>
    </row>
    <row r="10">
      <c r="A10" s="26" t="inlineStr">
        <is>
          <t>REP</t>
        </is>
      </c>
      <c r="B10" s="26" t="inlineStr">
        <is>
          <t>Reporting a součinnost s FAÚ</t>
        </is>
      </c>
      <c r="C10" s="26">
        <f>COUNTIF('Požadavky'!$B$6:$B$158,A10)</f>
        <v/>
      </c>
      <c r="D10" s="26">
        <f>COUNTIFS('Požadavky'!$B$6:$B$158,A10,'Požadavky'!$F$6:$F$158,"Must")</f>
        <v/>
      </c>
      <c r="E10" s="26">
        <f>COUNTIFS('Požadavky'!$B$6:$B$158,A10,'Požadavky'!$F$6:$F$158,"Should")</f>
        <v/>
      </c>
      <c r="F10" s="26">
        <f>COUNTIFS('Požadavky'!$B$6:$B$158,A10,'Požadavky'!$F$6:$F$158,"Could")</f>
        <v/>
      </c>
      <c r="G10" s="26">
        <f>COUNTIFS('Požadavky'!$B$6:$B$158,A10,'Požadavky'!$G$6:$G$158,"Ano")</f>
        <v/>
      </c>
      <c r="H10" s="26">
        <f>COUNTIFS('Požadavky'!$B$6:$B$158,A10,'Požadavky'!$M$6:$M$158,"&lt;&gt;")</f>
        <v/>
      </c>
      <c r="I10" s="26">
        <f>COUNTIFS('Požadavky'!$B$6:$B$158,A10,'Požadavky'!$M$6:$M$158,"Custom vývoj")</f>
        <v/>
      </c>
      <c r="J10" s="26">
        <f>COUNTIFS('Požadavky'!$B$6:$B$158,A10,'Požadavky'!$M$6:$M$158,"Nesplněno")+COUNTIFS('Požadavky'!$B$6:$B$158,A10,'Požadavky'!$M$6:$M$158,"3rd party")</f>
        <v/>
      </c>
      <c r="K10" s="26">
        <f>COUNTIFS('Požadavky'!$B$6:$B$158,A10,'Požadavky'!$P$6:$P$158,"CHYBÍ odkaz FS")</f>
        <v/>
      </c>
    </row>
    <row r="11">
      <c r="A11" s="26" t="inlineStr">
        <is>
          <t>INT</t>
        </is>
      </c>
      <c r="B11" s="26" t="inlineStr">
        <is>
          <t>Integrace</t>
        </is>
      </c>
      <c r="C11" s="26">
        <f>COUNTIF('Požadavky'!$B$6:$B$158,A11)</f>
        <v/>
      </c>
      <c r="D11" s="26">
        <f>COUNTIFS('Požadavky'!$B$6:$B$158,A11,'Požadavky'!$F$6:$F$158,"Must")</f>
        <v/>
      </c>
      <c r="E11" s="26">
        <f>COUNTIFS('Požadavky'!$B$6:$B$158,A11,'Požadavky'!$F$6:$F$158,"Should")</f>
        <v/>
      </c>
      <c r="F11" s="26">
        <f>COUNTIFS('Požadavky'!$B$6:$B$158,A11,'Požadavky'!$F$6:$F$158,"Could")</f>
        <v/>
      </c>
      <c r="G11" s="26">
        <f>COUNTIFS('Požadavky'!$B$6:$B$158,A11,'Požadavky'!$G$6:$G$158,"Ano")</f>
        <v/>
      </c>
      <c r="H11" s="26">
        <f>COUNTIFS('Požadavky'!$B$6:$B$158,A11,'Požadavky'!$M$6:$M$158,"&lt;&gt;")</f>
        <v/>
      </c>
      <c r="I11" s="26">
        <f>COUNTIFS('Požadavky'!$B$6:$B$158,A11,'Požadavky'!$M$6:$M$158,"Custom vývoj")</f>
        <v/>
      </c>
      <c r="J11" s="26">
        <f>COUNTIFS('Požadavky'!$B$6:$B$158,A11,'Požadavky'!$M$6:$M$158,"Nesplněno")+COUNTIFS('Požadavky'!$B$6:$B$158,A11,'Požadavky'!$M$6:$M$158,"3rd party")</f>
        <v/>
      </c>
      <c r="K11" s="26">
        <f>COUNTIFS('Požadavky'!$B$6:$B$158,A11,'Požadavky'!$P$6:$P$158,"CHYBÍ odkaz FS")</f>
        <v/>
      </c>
    </row>
    <row r="12">
      <c r="A12" s="26" t="inlineStr">
        <is>
          <t>MIG</t>
        </is>
      </c>
      <c r="B12" s="26" t="inlineStr">
        <is>
          <t>Datová migrace</t>
        </is>
      </c>
      <c r="C12" s="26">
        <f>COUNTIF('Požadavky'!$B$6:$B$158,A12)</f>
        <v/>
      </c>
      <c r="D12" s="26">
        <f>COUNTIFS('Požadavky'!$B$6:$B$158,A12,'Požadavky'!$F$6:$F$158,"Must")</f>
        <v/>
      </c>
      <c r="E12" s="26">
        <f>COUNTIFS('Požadavky'!$B$6:$B$158,A12,'Požadavky'!$F$6:$F$158,"Should")</f>
        <v/>
      </c>
      <c r="F12" s="26">
        <f>COUNTIFS('Požadavky'!$B$6:$B$158,A12,'Požadavky'!$F$6:$F$158,"Could")</f>
        <v/>
      </c>
      <c r="G12" s="26">
        <f>COUNTIFS('Požadavky'!$B$6:$B$158,A12,'Požadavky'!$G$6:$G$158,"Ano")</f>
        <v/>
      </c>
      <c r="H12" s="26">
        <f>COUNTIFS('Požadavky'!$B$6:$B$158,A12,'Požadavky'!$M$6:$M$158,"&lt;&gt;")</f>
        <v/>
      </c>
      <c r="I12" s="26">
        <f>COUNTIFS('Požadavky'!$B$6:$B$158,A12,'Požadavky'!$M$6:$M$158,"Custom vývoj")</f>
        <v/>
      </c>
      <c r="J12" s="26">
        <f>COUNTIFS('Požadavky'!$B$6:$B$158,A12,'Požadavky'!$M$6:$M$158,"Nesplněno")+COUNTIFS('Požadavky'!$B$6:$B$158,A12,'Požadavky'!$M$6:$M$158,"3rd party")</f>
        <v/>
      </c>
      <c r="K12" s="26">
        <f>COUNTIFS('Požadavky'!$B$6:$B$158,A12,'Požadavky'!$P$6:$P$158,"CHYBÍ odkaz FS")</f>
        <v/>
      </c>
    </row>
    <row r="13">
      <c r="A13" s="26" t="inlineStr">
        <is>
          <t>NFR</t>
        </is>
      </c>
      <c r="B13" s="26" t="inlineStr">
        <is>
          <t>Nefunkční požadavky</t>
        </is>
      </c>
      <c r="C13" s="26">
        <f>COUNTIF('Požadavky'!$B$6:$B$158,A13)</f>
        <v/>
      </c>
      <c r="D13" s="26">
        <f>COUNTIFS('Požadavky'!$B$6:$B$158,A13,'Požadavky'!$F$6:$F$158,"Must")</f>
        <v/>
      </c>
      <c r="E13" s="26">
        <f>COUNTIFS('Požadavky'!$B$6:$B$158,A13,'Požadavky'!$F$6:$F$158,"Should")</f>
        <v/>
      </c>
      <c r="F13" s="26">
        <f>COUNTIFS('Požadavky'!$B$6:$B$158,A13,'Požadavky'!$F$6:$F$158,"Could")</f>
        <v/>
      </c>
      <c r="G13" s="26">
        <f>COUNTIFS('Požadavky'!$B$6:$B$158,A13,'Požadavky'!$G$6:$G$158,"Ano")</f>
        <v/>
      </c>
      <c r="H13" s="26">
        <f>COUNTIFS('Požadavky'!$B$6:$B$158,A13,'Požadavky'!$M$6:$M$158,"&lt;&gt;")</f>
        <v/>
      </c>
      <c r="I13" s="26">
        <f>COUNTIFS('Požadavky'!$B$6:$B$158,A13,'Požadavky'!$M$6:$M$158,"Custom vývoj")</f>
        <v/>
      </c>
      <c r="J13" s="26">
        <f>COUNTIFS('Požadavky'!$B$6:$B$158,A13,'Požadavky'!$M$6:$M$158,"Nesplněno")+COUNTIFS('Požadavky'!$B$6:$B$158,A13,'Požadavky'!$M$6:$M$158,"3rd party")</f>
        <v/>
      </c>
      <c r="K13" s="26">
        <f>COUNTIFS('Požadavky'!$B$6:$B$158,A13,'Požadavky'!$P$6:$P$158,"CHYBÍ odkaz FS")</f>
        <v/>
      </c>
    </row>
    <row r="14">
      <c r="A14" s="26" t="inlineStr">
        <is>
          <t>SEC</t>
        </is>
      </c>
      <c r="B14" s="26" t="inlineStr">
        <is>
          <t>Bezpečnost</t>
        </is>
      </c>
      <c r="C14" s="26">
        <f>COUNTIF('Požadavky'!$B$6:$B$158,A14)</f>
        <v/>
      </c>
      <c r="D14" s="26">
        <f>COUNTIFS('Požadavky'!$B$6:$B$158,A14,'Požadavky'!$F$6:$F$158,"Must")</f>
        <v/>
      </c>
      <c r="E14" s="26">
        <f>COUNTIFS('Požadavky'!$B$6:$B$158,A14,'Požadavky'!$F$6:$F$158,"Should")</f>
        <v/>
      </c>
      <c r="F14" s="26">
        <f>COUNTIFS('Požadavky'!$B$6:$B$158,A14,'Požadavky'!$F$6:$F$158,"Could")</f>
        <v/>
      </c>
      <c r="G14" s="26">
        <f>COUNTIFS('Požadavky'!$B$6:$B$158,A14,'Požadavky'!$G$6:$G$158,"Ano")</f>
        <v/>
      </c>
      <c r="H14" s="26">
        <f>COUNTIFS('Požadavky'!$B$6:$B$158,A14,'Požadavky'!$M$6:$M$158,"&lt;&gt;")</f>
        <v/>
      </c>
      <c r="I14" s="26">
        <f>COUNTIFS('Požadavky'!$B$6:$B$158,A14,'Požadavky'!$M$6:$M$158,"Custom vývoj")</f>
        <v/>
      </c>
      <c r="J14" s="26">
        <f>COUNTIFS('Požadavky'!$B$6:$B$158,A14,'Požadavky'!$M$6:$M$158,"Nesplněno")+COUNTIFS('Požadavky'!$B$6:$B$158,A14,'Požadavky'!$M$6:$M$158,"3rd party")</f>
        <v/>
      </c>
      <c r="K14" s="26">
        <f>COUNTIFS('Požadavky'!$B$6:$B$158,A14,'Požadavky'!$P$6:$P$158,"CHYBÍ odkaz FS")</f>
        <v/>
      </c>
    </row>
    <row r="15">
      <c r="A15" s="26" t="inlineStr">
        <is>
          <t>REG</t>
        </is>
      </c>
      <c r="B15" s="26" t="inlineStr">
        <is>
          <t>Regulatorní soulad a auditovatelnost</t>
        </is>
      </c>
      <c r="C15" s="26">
        <f>COUNTIF('Požadavky'!$B$6:$B$158,A15)</f>
        <v/>
      </c>
      <c r="D15" s="26">
        <f>COUNTIFS('Požadavky'!$B$6:$B$158,A15,'Požadavky'!$F$6:$F$158,"Must")</f>
        <v/>
      </c>
      <c r="E15" s="26">
        <f>COUNTIFS('Požadavky'!$B$6:$B$158,A15,'Požadavky'!$F$6:$F$158,"Should")</f>
        <v/>
      </c>
      <c r="F15" s="26">
        <f>COUNTIFS('Požadavky'!$B$6:$B$158,A15,'Požadavky'!$F$6:$F$158,"Could")</f>
        <v/>
      </c>
      <c r="G15" s="26">
        <f>COUNTIFS('Požadavky'!$B$6:$B$158,A15,'Požadavky'!$G$6:$G$158,"Ano")</f>
        <v/>
      </c>
      <c r="H15" s="26">
        <f>COUNTIFS('Požadavky'!$B$6:$B$158,A15,'Požadavky'!$M$6:$M$158,"&lt;&gt;")</f>
        <v/>
      </c>
      <c r="I15" s="26">
        <f>COUNTIFS('Požadavky'!$B$6:$B$158,A15,'Požadavky'!$M$6:$M$158,"Custom vývoj")</f>
        <v/>
      </c>
      <c r="J15" s="26">
        <f>COUNTIFS('Požadavky'!$B$6:$B$158,A15,'Požadavky'!$M$6:$M$158,"Nesplněno")+COUNTIFS('Požadavky'!$B$6:$B$158,A15,'Požadavky'!$M$6:$M$158,"3rd party")</f>
        <v/>
      </c>
      <c r="K15" s="26">
        <f>COUNTIFS('Požadavky'!$B$6:$B$158,A15,'Požadavky'!$P$6:$P$158,"CHYBÍ odkaz FS")</f>
        <v/>
      </c>
    </row>
    <row r="16">
      <c r="A16" s="26" t="inlineStr">
        <is>
          <t>LEG</t>
        </is>
      </c>
      <c r="B16" s="26" t="inlineStr">
        <is>
          <t>Právní a smluvní požadavky</t>
        </is>
      </c>
      <c r="C16" s="26">
        <f>COUNTIF('Požadavky'!$B$6:$B$158,A16)</f>
        <v/>
      </c>
      <c r="D16" s="26">
        <f>COUNTIFS('Požadavky'!$B$6:$B$158,A16,'Požadavky'!$F$6:$F$158,"Must")</f>
        <v/>
      </c>
      <c r="E16" s="26">
        <f>COUNTIFS('Požadavky'!$B$6:$B$158,A16,'Požadavky'!$F$6:$F$158,"Should")</f>
        <v/>
      </c>
      <c r="F16" s="26">
        <f>COUNTIFS('Požadavky'!$B$6:$B$158,A16,'Požadavky'!$F$6:$F$158,"Could")</f>
        <v/>
      </c>
      <c r="G16" s="26">
        <f>COUNTIFS('Požadavky'!$B$6:$B$158,A16,'Požadavky'!$G$6:$G$158,"Ano")</f>
        <v/>
      </c>
      <c r="H16" s="26">
        <f>COUNTIFS('Požadavky'!$B$6:$B$158,A16,'Požadavky'!$M$6:$M$158,"&lt;&gt;")</f>
        <v/>
      </c>
      <c r="I16" s="26">
        <f>COUNTIFS('Požadavky'!$B$6:$B$158,A16,'Požadavky'!$M$6:$M$158,"Custom vývoj")</f>
        <v/>
      </c>
      <c r="J16" s="26">
        <f>COUNTIFS('Požadavky'!$B$6:$B$158,A16,'Požadavky'!$M$6:$M$158,"Nesplněno")+COUNTIFS('Požadavky'!$B$6:$B$158,A16,'Požadavky'!$M$6:$M$158,"3rd party")</f>
        <v/>
      </c>
      <c r="K16" s="26">
        <f>COUNTIFS('Požadavky'!$B$6:$B$158,A16,'Požadavky'!$P$6:$P$158,"CHYBÍ odkaz FS")</f>
        <v/>
      </c>
    </row>
    <row r="17">
      <c r="A17" s="27" t="inlineStr">
        <is>
          <t>Celkem</t>
        </is>
      </c>
      <c r="B17" s="26" t="n"/>
      <c r="C17" s="27">
        <f>SUM(C6:C16)</f>
        <v/>
      </c>
      <c r="D17" s="27">
        <f>SUM(D6:D16)</f>
        <v/>
      </c>
      <c r="E17" s="27">
        <f>SUM(E6:E16)</f>
        <v/>
      </c>
      <c r="F17" s="27">
        <f>SUM(F6:F16)</f>
        <v/>
      </c>
      <c r="G17" s="27">
        <f>SUM(G6:G16)</f>
        <v/>
      </c>
      <c r="H17" s="27">
        <f>SUM(H6:H16)</f>
        <v/>
      </c>
      <c r="I17" s="27">
        <f>SUM(I6:I16)</f>
        <v/>
      </c>
      <c r="J17" s="27">
        <f>SUM(J6:J16)</f>
        <v/>
      </c>
      <c r="K17" s="27">
        <f>SUM(K6:K16)</f>
        <v/>
      </c>
    </row>
    <row r="19">
      <c r="A19" s="4" t="inlineStr">
        <is>
          <t>Vyhodnocení (po doplnění odpovědí dodavatele)</t>
        </is>
      </c>
    </row>
    <row r="20">
      <c r="A20" t="inlineStr">
        <is>
          <t>Pokrytí byznys funkcionalit (vážené)</t>
        </is>
      </c>
      <c r="B20" s="28">
        <f>IFERROR(SUM('Požadavky'!$V$6:$V$158)/SUM('Požadavky'!$W$6:$W$158),0)</f>
        <v/>
      </c>
    </row>
    <row r="21">
      <c r="A21" t="inlineStr">
        <is>
          <t>Body za Byznys funkcionality (max. 30)</t>
        </is>
      </c>
      <c r="B21" s="29">
        <f>B20*30</f>
        <v/>
      </c>
    </row>
    <row r="22">
      <c r="A22" t="inlineStr">
        <is>
          <t>Počet K.O. = FAIL</t>
        </is>
      </c>
      <c r="B22" s="30">
        <f>COUNTIF('Požadavky'!$U$6:$U$158,"FAIL")</f>
        <v/>
      </c>
    </row>
    <row r="23">
      <c r="A23" t="inlineStr">
        <is>
          <t>Počet K.O. = K VYJASNĚNÍ</t>
        </is>
      </c>
      <c r="B23" s="30">
        <f>COUNTIF('Požadavky'!$U$6:$U$158,"K VYJASNĚNÍ")</f>
        <v/>
      </c>
    </row>
    <row r="24">
      <c r="A24" t="inlineStr">
        <is>
          <t>Výsledek K.O. brány</t>
        </is>
      </c>
      <c r="B24" s="31">
        <f>IF(COUNTIF('Požadavky'!$M$6:$M$158,"&lt;&gt;")=0,"čeká na nabídku",IF(B22&gt;0,"VYŘAZEN","POSTUPUJE"))</f>
        <v/>
      </c>
    </row>
    <row r="25">
      <c r="A25" t="inlineStr">
        <is>
          <t>Požadavky ve stavu K diskusi (musí být 0 před vyhlášením)</t>
        </is>
      </c>
      <c r="B25" s="30">
        <f>COUNTIF('Požadavky'!$K$6:$K$158,"K diskusi")+COUNTIF('Požadavky'!$K$6:$K$158,"Návrh")</f>
        <v/>
      </c>
    </row>
  </sheetData>
  <conditionalFormatting sqref="B24">
    <cfRule type="cellIs" priority="1" operator="equal" dxfId="0">
      <formula>"VYŘAZEN"</formula>
    </cfRule>
  </conditionalFormatting>
  <conditionalFormatting sqref="B25">
    <cfRule type="cellIs" priority="2" operator="greater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" customWidth="1" min="3" max="3"/>
    <col width="16" customWidth="1" min="4" max="4"/>
    <col width="7" customWidth="1" min="5" max="5"/>
    <col width="46" customWidth="1" min="6" max="6"/>
    <col width="3" customWidth="1" min="7" max="7"/>
    <col width="10" customWidth="1" min="8" max="8"/>
    <col width="7" customWidth="1" min="9" max="9"/>
  </cols>
  <sheetData>
    <row r="1">
      <c r="A1" s="1" t="inlineStr">
        <is>
          <t>Číselníky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4" t="inlineStr">
        <is>
          <t>Oblast</t>
        </is>
      </c>
      <c r="B5" s="14" t="inlineStr">
        <is>
          <t>Název</t>
        </is>
      </c>
      <c r="C5" s="14" t="inlineStr"/>
      <c r="D5" s="14" t="inlineStr">
        <is>
          <t>Odpověď</t>
        </is>
      </c>
      <c r="E5" s="14" t="inlineStr">
        <is>
          <t>Body</t>
        </is>
      </c>
      <c r="F5" s="14" t="inlineStr">
        <is>
          <t>Význam</t>
        </is>
      </c>
      <c r="G5" s="14" t="inlineStr"/>
      <c r="H5" s="14" t="inlineStr">
        <is>
          <t>MoSCoW</t>
        </is>
      </c>
      <c r="I5" s="14" t="inlineStr">
        <is>
          <t>Váha</t>
        </is>
      </c>
    </row>
    <row r="6">
      <c r="A6" t="inlineStr">
        <is>
          <t>KYC</t>
        </is>
      </c>
      <c r="B6" t="inlineStr">
        <is>
          <t>Onboarding a kontrola klienta (KYC/CDD)</t>
        </is>
      </c>
      <c r="D6" t="inlineStr">
        <is>
          <t>OOTB</t>
        </is>
      </c>
      <c r="E6" t="n">
        <v>5</v>
      </c>
      <c r="F6" t="inlineStr">
        <is>
          <t>Funkce je ve standardu produktu, stačí zapnout</t>
        </is>
      </c>
      <c r="H6" t="inlineStr">
        <is>
          <t>Must</t>
        </is>
      </c>
      <c r="I6" t="n">
        <v>3</v>
      </c>
    </row>
    <row r="7">
      <c r="A7" t="inlineStr">
        <is>
          <t>SCR</t>
        </is>
      </c>
      <c r="B7" t="inlineStr">
        <is>
          <t>Screening (sankce, PEP, adverse media)</t>
        </is>
      </c>
      <c r="D7" t="inlineStr">
        <is>
          <t>Konfigurace</t>
        </is>
      </c>
      <c r="E7" t="n">
        <v>3</v>
      </c>
      <c r="F7" t="inlineStr">
        <is>
          <t>Nastavení v UI bez programování</t>
        </is>
      </c>
      <c r="H7" t="inlineStr">
        <is>
          <t>Should</t>
        </is>
      </c>
      <c r="I7" t="n">
        <v>2</v>
      </c>
    </row>
    <row r="8">
      <c r="A8" t="inlineStr">
        <is>
          <t>TM</t>
        </is>
      </c>
      <c r="B8" t="inlineStr">
        <is>
          <t>Monitoring transakcí</t>
        </is>
      </c>
      <c r="D8" t="inlineStr">
        <is>
          <t>Custom vývoj</t>
        </is>
      </c>
      <c r="E8" t="n">
        <v>1</v>
      </c>
      <c r="F8" t="inlineStr">
        <is>
          <t>Vyžaduje vývoj; zvyšuje technický dluh a TCO</t>
        </is>
      </c>
      <c r="H8" t="inlineStr">
        <is>
          <t>Could</t>
        </is>
      </c>
      <c r="I8" t="n">
        <v>1</v>
      </c>
    </row>
    <row r="9">
      <c r="A9" t="inlineStr">
        <is>
          <t>CAS</t>
        </is>
      </c>
      <c r="B9" t="inlineStr">
        <is>
          <t>Správa případů a rozhodování</t>
        </is>
      </c>
      <c r="D9" t="inlineStr">
        <is>
          <t>3rd party</t>
        </is>
      </c>
      <c r="E9" t="n">
        <v>0</v>
      </c>
      <c r="F9" t="inlineStr">
        <is>
          <t>Zajišťuje produkt třetí strany</t>
        </is>
      </c>
      <c r="H9" t="inlineStr">
        <is>
          <t>Won't</t>
        </is>
      </c>
      <c r="I9" t="n">
        <v>0</v>
      </c>
    </row>
    <row r="10">
      <c r="A10" t="inlineStr">
        <is>
          <t>REP</t>
        </is>
      </c>
      <c r="B10" t="inlineStr">
        <is>
          <t>Reporting a součinnost s FAÚ</t>
        </is>
      </c>
      <c r="D10" t="inlineStr">
        <is>
          <t>Nesplněno</t>
        </is>
      </c>
      <c r="E10" t="n">
        <v>0</v>
      </c>
      <c r="F10" t="inlineStr">
        <is>
          <t>Dodavatel neumí</t>
        </is>
      </c>
    </row>
    <row r="11">
      <c r="A11" t="inlineStr">
        <is>
          <t>INT</t>
        </is>
      </c>
      <c r="B11" t="inlineStr">
        <is>
          <t>Integrace</t>
        </is>
      </c>
    </row>
    <row r="12">
      <c r="A12" t="inlineStr">
        <is>
          <t>MIG</t>
        </is>
      </c>
      <c r="B12" t="inlineStr">
        <is>
          <t>Datová migrace</t>
        </is>
      </c>
    </row>
    <row r="13">
      <c r="A13" t="inlineStr">
        <is>
          <t>NFR</t>
        </is>
      </c>
      <c r="B13" t="inlineStr">
        <is>
          <t>Nefunkční požadavky</t>
        </is>
      </c>
    </row>
    <row r="14">
      <c r="A14" t="inlineStr">
        <is>
          <t>SEC</t>
        </is>
      </c>
      <c r="B14" t="inlineStr">
        <is>
          <t>Bezpečnost</t>
        </is>
      </c>
    </row>
    <row r="15">
      <c r="A15" t="inlineStr">
        <is>
          <t>REG</t>
        </is>
      </c>
      <c r="B15" t="inlineStr">
        <is>
          <t>Regulatorní soulad a auditovatelnost</t>
        </is>
      </c>
    </row>
    <row r="16">
      <c r="A16" t="inlineStr">
        <is>
          <t>LEG</t>
        </is>
      </c>
      <c r="B16" t="inlineStr">
        <is>
          <t>Právní a smluvní požadavky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46" customWidth="1" min="4" max="4"/>
    <col width="34" customWidth="1" min="5" max="5"/>
    <col width="52" customWidth="1" min="6" max="6"/>
    <col width="24" customWidth="1" min="7" max="7"/>
  </cols>
  <sheetData>
    <row r="1">
      <c r="A1" s="1" t="inlineStr">
        <is>
          <t>Záznam workshopů se stakeholdery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4" t="inlineStr">
        <is>
          <t>ID</t>
        </is>
      </c>
      <c r="B5" s="14" t="inlineStr">
        <is>
          <t>Datum</t>
        </is>
      </c>
      <c r="C5" s="14" t="inlineStr">
        <is>
          <t>Stakeholder</t>
        </is>
      </c>
      <c r="D5" s="14" t="inlineStr">
        <is>
          <t>Účastníci (role)</t>
        </is>
      </c>
      <c r="E5" s="14" t="inlineStr">
        <is>
          <t>Témata</t>
        </is>
      </c>
      <c r="F5" s="14" t="inlineStr">
        <is>
          <t>Závěry</t>
        </is>
      </c>
      <c r="G5" s="14" t="inlineStr">
        <is>
          <t>Dotčené požadavky</t>
        </is>
      </c>
    </row>
    <row r="6">
      <c r="A6" s="32" t="n"/>
      <c r="B6" s="32" t="n"/>
      <c r="C6" s="32" t="n"/>
      <c r="D6" s="32" t="n"/>
      <c r="E6" s="32" t="n"/>
      <c r="F6" s="32" t="n"/>
      <c r="G6" s="32" t="n"/>
    </row>
    <row r="7">
      <c r="A7" s="32" t="n"/>
      <c r="B7" s="32" t="n"/>
      <c r="C7" s="32" t="n"/>
      <c r="D7" s="32" t="n"/>
      <c r="E7" s="32" t="n"/>
      <c r="F7" s="32" t="n"/>
      <c r="G7" s="32" t="n"/>
    </row>
    <row r="8">
      <c r="A8" s="32" t="n"/>
      <c r="B8" s="32" t="n"/>
      <c r="C8" s="32" t="n"/>
      <c r="D8" s="32" t="n"/>
      <c r="E8" s="32" t="n"/>
      <c r="F8" s="32" t="n"/>
      <c r="G8" s="32" t="n"/>
    </row>
    <row r="9">
      <c r="A9" s="32" t="n"/>
      <c r="B9" s="32" t="n"/>
      <c r="C9" s="32" t="n"/>
      <c r="D9" s="32" t="n"/>
      <c r="E9" s="32" t="n"/>
      <c r="F9" s="32" t="n"/>
      <c r="G9" s="32" t="n"/>
    </row>
    <row r="10">
      <c r="A10" s="32" t="n"/>
      <c r="B10" s="32" t="n"/>
      <c r="C10" s="32" t="n"/>
      <c r="D10" s="32" t="n"/>
      <c r="E10" s="32" t="n"/>
      <c r="F10" s="32" t="n"/>
      <c r="G10" s="32" t="n"/>
    </row>
    <row r="11">
      <c r="A11" s="32" t="n"/>
      <c r="B11" s="32" t="n"/>
      <c r="C11" s="32" t="n"/>
      <c r="D11" s="32" t="n"/>
      <c r="E11" s="32" t="n"/>
      <c r="F11" s="32" t="n"/>
      <c r="G11" s="32" t="n"/>
    </row>
    <row r="12">
      <c r="A12" s="32" t="n"/>
      <c r="B12" s="32" t="n"/>
      <c r="C12" s="32" t="n"/>
      <c r="D12" s="32" t="n"/>
      <c r="E12" s="32" t="n"/>
      <c r="F12" s="32" t="n"/>
      <c r="G12" s="32" t="n"/>
    </row>
    <row r="13">
      <c r="A13" s="32" t="n"/>
      <c r="B13" s="32" t="n"/>
      <c r="C13" s="32" t="n"/>
      <c r="D13" s="32" t="n"/>
      <c r="E13" s="32" t="n"/>
      <c r="F13" s="32" t="n"/>
      <c r="G13" s="32" t="n"/>
    </row>
    <row r="14">
      <c r="A14" s="32" t="n"/>
      <c r="B14" s="32" t="n"/>
      <c r="C14" s="32" t="n"/>
      <c r="D14" s="32" t="n"/>
      <c r="E14" s="32" t="n"/>
      <c r="F14" s="32" t="n"/>
      <c r="G14" s="32" t="n"/>
    </row>
    <row r="15">
      <c r="A15" s="32" t="n"/>
      <c r="B15" s="32" t="n"/>
      <c r="C15" s="32" t="n"/>
      <c r="D15" s="32" t="n"/>
      <c r="E15" s="32" t="n"/>
      <c r="F15" s="32" t="n"/>
      <c r="G15" s="32" t="n"/>
    </row>
    <row r="16">
      <c r="A16" s="32" t="n"/>
      <c r="B16" s="32" t="n"/>
      <c r="C16" s="32" t="n"/>
      <c r="D16" s="32" t="n"/>
      <c r="E16" s="32" t="n"/>
      <c r="F16" s="32" t="n"/>
      <c r="G16" s="32" t="n"/>
    </row>
    <row r="17">
      <c r="A17" s="32" t="n"/>
      <c r="B17" s="32" t="n"/>
      <c r="C17" s="32" t="n"/>
      <c r="D17" s="32" t="n"/>
      <c r="E17" s="32" t="n"/>
      <c r="F17" s="32" t="n"/>
      <c r="G17" s="32" t="n"/>
    </row>
  </sheetData>
  <dataValidations count="1">
    <dataValidation sqref="C6:C60" showDropDown="0" showInputMessage="0" showErrorMessage="0" allowBlank="1" errorTitle="Neplatná hodnota" error="Vyberte hodnotu ze seznamu." type="list">
      <formula1>"IT,Compliance,Legal,Obchod,Všichni,SteerCo"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46" customWidth="1" min="3" max="3"/>
    <col width="46" customWidth="1" min="4" max="4"/>
    <col width="52" customWidth="1" min="5" max="5"/>
    <col width="13" customWidth="1" min="6" max="6"/>
  </cols>
  <sheetData>
    <row r="1">
      <c r="A1" s="1" t="inlineStr">
        <is>
          <t>Konflikty požadavků mezi stakeholdery a jejich rozhodnutí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4" t="inlineStr">
        <is>
          <t>ID</t>
        </is>
      </c>
      <c r="B5" s="14" t="inlineStr">
        <is>
          <t>Požadavek</t>
        </is>
      </c>
      <c r="C5" s="14" t="inlineStr">
        <is>
          <t>Pozice A</t>
        </is>
      </c>
      <c r="D5" s="14" t="inlineStr">
        <is>
          <t>Pozice B</t>
        </is>
      </c>
      <c r="E5" s="14" t="inlineStr">
        <is>
          <t>Rozhodnutí</t>
        </is>
      </c>
      <c r="F5" s="14" t="inlineStr">
        <is>
          <t>Rozhodnuto na</t>
        </is>
      </c>
    </row>
    <row r="6">
      <c r="A6" s="32" t="n"/>
      <c r="B6" s="32" t="n"/>
      <c r="C6" s="32" t="n"/>
      <c r="D6" s="32" t="n"/>
      <c r="E6" s="32" t="n"/>
      <c r="F6" s="32" t="n"/>
    </row>
    <row r="7">
      <c r="A7" s="32" t="n"/>
      <c r="B7" s="32" t="n"/>
      <c r="C7" s="32" t="n"/>
      <c r="D7" s="32" t="n"/>
      <c r="E7" s="32" t="n"/>
      <c r="F7" s="32" t="n"/>
    </row>
    <row r="8">
      <c r="A8" s="32" t="n"/>
      <c r="B8" s="32" t="n"/>
      <c r="C8" s="32" t="n"/>
      <c r="D8" s="32" t="n"/>
      <c r="E8" s="32" t="n"/>
      <c r="F8" s="32" t="n"/>
    </row>
    <row r="9">
      <c r="A9" s="32" t="n"/>
      <c r="B9" s="32" t="n"/>
      <c r="C9" s="32" t="n"/>
      <c r="D9" s="32" t="n"/>
      <c r="E9" s="32" t="n"/>
      <c r="F9" s="32" t="n"/>
    </row>
    <row r="10">
      <c r="A10" s="32" t="n"/>
      <c r="B10" s="32" t="n"/>
      <c r="C10" s="32" t="n"/>
      <c r="D10" s="32" t="n"/>
      <c r="E10" s="32" t="n"/>
      <c r="F10" s="32" t="n"/>
    </row>
    <row r="11">
      <c r="A11" s="32" t="n"/>
      <c r="B11" s="32" t="n"/>
      <c r="C11" s="32" t="n"/>
      <c r="D11" s="32" t="n"/>
      <c r="E11" s="32" t="n"/>
      <c r="F11" s="32" t="n"/>
    </row>
    <row r="12">
      <c r="A12" s="32" t="n"/>
      <c r="B12" s="32" t="n"/>
      <c r="C12" s="32" t="n"/>
      <c r="D12" s="32" t="n"/>
      <c r="E12" s="32" t="n"/>
      <c r="F12" s="32" t="n"/>
    </row>
    <row r="13">
      <c r="A13" s="32" t="n"/>
      <c r="B13" s="32" t="n"/>
      <c r="C13" s="32" t="n"/>
      <c r="D13" s="32" t="n"/>
      <c r="E13" s="32" t="n"/>
      <c r="F13" s="3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20" customWidth="1" min="4" max="4"/>
    <col width="22" customWidth="1" min="5" max="5"/>
    <col width="22" customWidth="1" min="6" max="6"/>
  </cols>
  <sheetData>
    <row r="1">
      <c r="A1" s="1" t="inlineStr">
        <is>
          <t>Změnový log matice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4" t="inlineStr">
        <is>
          <t>Verze</t>
        </is>
      </c>
      <c r="B5" s="14" t="inlineStr">
        <is>
          <t>Datum</t>
        </is>
      </c>
      <c r="C5" s="14" t="inlineStr">
        <is>
          <t>Změna</t>
        </is>
      </c>
      <c r="D5" s="14" t="inlineStr">
        <is>
          <t>Dotčené ID</t>
        </is>
      </c>
      <c r="E5" s="14" t="inlineStr">
        <is>
          <t>Autor</t>
        </is>
      </c>
      <c r="F5" s="14" t="inlineStr">
        <is>
          <t>Schválil</t>
        </is>
      </c>
    </row>
    <row r="6">
      <c r="A6" s="32" t="n"/>
      <c r="B6" s="32" t="n"/>
      <c r="C6" s="32" t="n"/>
      <c r="D6" s="32" t="n"/>
      <c r="E6" s="32" t="n"/>
      <c r="F6" s="32" t="n"/>
    </row>
    <row r="7">
      <c r="A7" s="32" t="n"/>
      <c r="B7" s="32" t="n"/>
      <c r="C7" s="32" t="n"/>
      <c r="D7" s="32" t="n"/>
      <c r="E7" s="32" t="n"/>
      <c r="F7" s="32" t="n"/>
    </row>
    <row r="8">
      <c r="A8" s="32" t="n"/>
      <c r="B8" s="32" t="n"/>
      <c r="C8" s="32" t="n"/>
      <c r="D8" s="32" t="n"/>
      <c r="E8" s="32" t="n"/>
      <c r="F8" s="32" t="n"/>
    </row>
    <row r="9">
      <c r="A9" s="32" t="n"/>
      <c r="B9" s="32" t="n"/>
      <c r="C9" s="32" t="n"/>
      <c r="D9" s="32" t="n"/>
      <c r="E9" s="32" t="n"/>
      <c r="F9" s="32" t="n"/>
    </row>
    <row r="10">
      <c r="A10" s="32" t="n"/>
      <c r="B10" s="32" t="n"/>
      <c r="C10" s="32" t="n"/>
      <c r="D10" s="32" t="n"/>
      <c r="E10" s="32" t="n"/>
      <c r="F10" s="32" t="n"/>
    </row>
    <row r="11">
      <c r="A11" s="32" t="n"/>
      <c r="B11" s="32" t="n"/>
      <c r="C11" s="32" t="n"/>
      <c r="D11" s="32" t="n"/>
      <c r="E11" s="32" t="n"/>
      <c r="F11" s="32" t="n"/>
    </row>
    <row r="12">
      <c r="A12" s="32" t="n"/>
      <c r="B12" s="32" t="n"/>
      <c r="C12" s="32" t="n"/>
      <c r="D12" s="32" t="n"/>
      <c r="E12" s="32" t="n"/>
      <c r="F12" s="32" t="n"/>
    </row>
    <row r="13">
      <c r="A13" s="32" t="n"/>
      <c r="B13" s="32" t="n"/>
      <c r="C13" s="32" t="n"/>
      <c r="D13" s="32" t="n"/>
      <c r="E13" s="32" t="n"/>
      <c r="F13" s="32" t="n"/>
    </row>
    <row r="14">
      <c r="A14" s="32" t="n"/>
      <c r="B14" s="32" t="n"/>
      <c r="C14" s="32" t="n"/>
      <c r="D14" s="32" t="n"/>
      <c r="E14" s="32" t="n"/>
      <c r="F14" s="32" t="n"/>
    </row>
    <row r="15">
      <c r="A15" s="32" t="n"/>
      <c r="B15" s="32" t="n"/>
      <c r="C15" s="32" t="n"/>
      <c r="D15" s="32" t="n"/>
      <c r="E15" s="32" t="n"/>
      <c r="F15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2026-10-06T09:49:34Z</dcterms:created>
  <dcterms:modified xmlns:dcterms="http://purl.org/dc/terms/" xmlns:xsi="http://www.w3.org/2001/XMLSchema-instance" xsi:type="dcterms:W3CDTF">2026-10-06T09:49:34Z</dcterms:modified>
</cp:coreProperties>
</file>